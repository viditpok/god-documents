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njalikaarora/Downloads/"/>
    </mc:Choice>
  </mc:AlternateContent>
  <xr:revisionPtr revIDLastSave="0" documentId="8_{01E990AE-FC0C-D940-9040-D9B3DE8AE168}" xr6:coauthVersionLast="47" xr6:coauthVersionMax="47" xr10:uidLastSave="{00000000-0000-0000-0000-000000000000}"/>
  <bookViews>
    <workbookView xWindow="460" yWindow="500" windowWidth="28340" windowHeight="16220" xr2:uid="{00000000-000D-0000-FFFF-FFFF00000000}"/>
  </bookViews>
  <sheets>
    <sheet name="excess return data" sheetId="1" r:id="rId1"/>
    <sheet name="Q4" sheetId="2" r:id="rId2"/>
    <sheet name="Q3" sheetId="3" r:id="rId3"/>
    <sheet name="Q2" sheetId="4" r:id="rId4"/>
    <sheet name="Q1" sheetId="6" r:id="rId5"/>
  </sheets>
  <definedNames>
    <definedName name="adjcov">'Q4'!$J$4:$L$6</definedName>
    <definedName name="aversion">'Q4'!$B$8</definedName>
    <definedName name="Covariance">'Q4'!$B$4:$D$6</definedName>
    <definedName name="diagomega">'Q4'!$K$14:$L$15</definedName>
    <definedName name="eqweights">'Q4'!$F$4:$F$6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40724.4749884259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ktVar">'Q4'!$B$10</definedName>
    <definedName name="Omega">'Q4'!$H$14:$I$15</definedName>
    <definedName name="optweights">'Q4'!$B$30:$B$32</definedName>
    <definedName name="postdist">'Q4'!$D$21:$F$23</definedName>
    <definedName name="postret">'Q4'!$B$21:$B$23</definedName>
    <definedName name="prior">'Q4'!$G$4:$G$6</definedName>
    <definedName name="priorconf">'Q4'!$N$14:$O$15</definedName>
    <definedName name="priorom">'Q4'!$N$14:$O$15</definedName>
    <definedName name="solver_adj" localSheetId="1" hidden="1">'Q4'!$B$30:$B$32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'Q4'!$B$34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1</definedName>
    <definedName name="solver_opt" localSheetId="1" hidden="1">'Q4'!$E$32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1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  <definedName name="tau">'Q4'!$B$9</definedName>
    <definedName name="tau_omega">'Q4'!$H$16</definedName>
    <definedName name="ViewP">'Q4'!$B$14:$D$15</definedName>
    <definedName name="ViewQ">'Q4'!$F$14:$F$15</definedName>
    <definedName name="xxxx">'Q4'!#REF!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1" i="2" l="1"/>
  <c r="B10" i="2" a="1"/>
  <c r="B10" i="2"/>
  <c r="F13" i="3"/>
  <c r="C5" i="3"/>
  <c r="C4" i="3"/>
  <c r="F14" i="3"/>
  <c r="B13" i="6"/>
  <c r="C13" i="6"/>
  <c r="B15" i="6"/>
  <c r="B14" i="6"/>
  <c r="K5" i="6"/>
  <c r="J5" i="6"/>
  <c r="K4" i="6"/>
  <c r="J4" i="6"/>
  <c r="J3" i="6"/>
  <c r="K3" i="6"/>
  <c r="C14" i="6"/>
  <c r="D14" i="6"/>
  <c r="C15" i="6"/>
  <c r="D15" i="6"/>
  <c r="D13" i="6"/>
  <c r="E9" i="6"/>
  <c r="E10" i="6"/>
  <c r="E8" i="6"/>
  <c r="D9" i="6"/>
  <c r="D10" i="6"/>
  <c r="D8" i="6"/>
  <c r="H6" i="4"/>
  <c r="H4" i="4"/>
  <c r="H3" i="4"/>
  <c r="G6" i="4"/>
  <c r="G4" i="4"/>
  <c r="G3" i="4"/>
  <c r="G8" i="4"/>
  <c r="B17" i="4"/>
  <c r="C13" i="4"/>
  <c r="C12" i="4"/>
  <c r="C11" i="4"/>
  <c r="B9" i="4"/>
  <c r="H5" i="4" s="1"/>
  <c r="B6" i="4"/>
  <c r="B13" i="3"/>
  <c r="F10" i="3"/>
  <c r="B10" i="3"/>
  <c r="B14" i="3"/>
  <c r="H4" i="3"/>
  <c r="G3" i="3"/>
  <c r="C4" i="2"/>
  <c r="D4" i="2"/>
  <c r="C5" i="2"/>
  <c r="D5" i="2"/>
  <c r="C6" i="2"/>
  <c r="D6" i="2"/>
  <c r="B6" i="2"/>
  <c r="B5" i="2"/>
  <c r="B4" i="2"/>
  <c r="H16" i="2"/>
  <c r="H14" i="2" s="1" a="1"/>
  <c r="B34" i="2"/>
  <c r="B16" i="3" l="1"/>
  <c r="C14" i="4"/>
  <c r="B8" i="4"/>
  <c r="C15" i="4"/>
  <c r="B17" i="3"/>
  <c r="B18" i="3" s="1"/>
  <c r="H3" i="3"/>
  <c r="G4" i="3"/>
  <c r="H14" i="2"/>
  <c r="K14" i="2" s="1"/>
  <c r="I14" i="2"/>
  <c r="H15" i="2"/>
  <c r="I15" i="2"/>
  <c r="L15" i="2" s="1"/>
  <c r="N14" i="2" a="1"/>
  <c r="J4" i="2" a="1"/>
  <c r="F17" i="3" l="1"/>
  <c r="F18" i="3" s="1"/>
  <c r="F16" i="3"/>
  <c r="B18" i="4"/>
  <c r="G5" i="4"/>
  <c r="B21" i="3"/>
  <c r="B22" i="3" s="1"/>
  <c r="B19" i="3"/>
  <c r="K4" i="2"/>
  <c r="L4" i="2"/>
  <c r="K5" i="2"/>
  <c r="L5" i="2"/>
  <c r="J6" i="2"/>
  <c r="K6" i="2"/>
  <c r="L6" i="2"/>
  <c r="J5" i="2"/>
  <c r="J4" i="2"/>
  <c r="N14" i="2"/>
  <c r="O14" i="2"/>
  <c r="O15" i="2"/>
  <c r="N15" i="2"/>
  <c r="F21" i="3" l="1"/>
  <c r="F22" i="3" s="1"/>
  <c r="F19" i="3"/>
  <c r="D21" i="2" a="1"/>
  <c r="D23" i="2" s="1"/>
  <c r="D22" i="2" l="1"/>
  <c r="E22" i="2"/>
  <c r="F23" i="2"/>
  <c r="F21" i="2"/>
  <c r="E21" i="2"/>
  <c r="D21" i="2"/>
  <c r="E23" i="2"/>
  <c r="F22" i="2"/>
  <c r="E30" i="2" l="1" a="1"/>
  <c r="E30" i="2" s="1"/>
  <c r="E31" i="2" s="1"/>
  <c r="E8" i="2"/>
  <c r="G4" i="2" a="1"/>
  <c r="E9" i="2" a="1"/>
  <c r="E9" i="2" s="1"/>
  <c r="G6" i="2" l="1"/>
  <c r="G4" i="2"/>
  <c r="G5" i="2"/>
  <c r="E10" i="2"/>
  <c r="J8" i="2" a="1"/>
  <c r="J8" i="2"/>
  <c r="B21" i="2" a="1"/>
  <c r="B22" i="2"/>
  <c r="B23" i="2"/>
  <c r="B21" i="2"/>
  <c r="E29" i="2" a="1"/>
  <c r="E29" i="2"/>
  <c r="E32" i="2"/>
  <c r="H30" i="2" a="1"/>
  <c r="I30" i="2"/>
  <c r="H30" i="2"/>
  <c r="J30" i="2"/>
  <c r="K30" i="2" s="1"/>
  <c r="I32" i="2" s="1"/>
  <c r="J32" i="2"/>
  <c r="H32" i="2"/>
  <c r="K3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<sst xmlns="http://schemas.openxmlformats.org/spreadsheetml/2006/main" count="151" uniqueCount="108">
  <si>
    <t>YearM</t>
  </si>
  <si>
    <t>T-Bill</t>
  </si>
  <si>
    <t>US Equity</t>
  </si>
  <si>
    <t>Foreign EQ</t>
  </si>
  <si>
    <t>Emerging EQ</t>
  </si>
  <si>
    <t>Prior</t>
  </si>
  <si>
    <t>Covariance Matrix</t>
  </si>
  <si>
    <t>Covariance*tau</t>
  </si>
  <si>
    <t>Foreign Equity</t>
  </si>
  <si>
    <t>Emerging Equity</t>
  </si>
  <si>
    <t>Market Weights</t>
  </si>
  <si>
    <t>Prior Returns</t>
  </si>
  <si>
    <t>Weights based on mkt cap</t>
  </si>
  <si>
    <t>=aversion*MMULT(Covariance,eqweights)</t>
  </si>
  <si>
    <t>Risk Aversion</t>
  </si>
  <si>
    <t>Market Exp. Excess Return</t>
  </si>
  <si>
    <t>=aversion*Market Variance</t>
  </si>
  <si>
    <t>Tau (scales covar.)</t>
  </si>
  <si>
    <t>Std. Dev.</t>
  </si>
  <si>
    <t>=sqrt(Market Variance)</t>
  </si>
  <si>
    <t>Market Variance</t>
  </si>
  <si>
    <t>Sharpe Ratio</t>
  </si>
  <si>
    <t>Views</t>
  </si>
  <si>
    <t>Prior Precision of Views</t>
  </si>
  <si>
    <t>P</t>
  </si>
  <si>
    <t>Q</t>
  </si>
  <si>
    <t>Omega</t>
  </si>
  <si>
    <t>Diagonalized Omega</t>
  </si>
  <si>
    <t>P(tau*Cov)transpose(P) labeled priorconf</t>
  </si>
  <si>
    <t>View1</t>
  </si>
  <si>
    <t>View2</t>
  </si>
  <si>
    <t>tau_omega</t>
  </si>
  <si>
    <t>Relative Confidence</t>
  </si>
  <si>
    <t>How much more confident are you in your view than the prior? (Confidence in your view / Confidence in prior)</t>
  </si>
  <si>
    <t>Posterior Estimates</t>
  </si>
  <si>
    <t>Posterior Returns</t>
  </si>
  <si>
    <t>Posterior Return Distribution</t>
  </si>
  <si>
    <t>Portfolio Optimization</t>
  </si>
  <si>
    <t>Weights</t>
  </si>
  <si>
    <t>Expected Return</t>
  </si>
  <si>
    <t>Unconstrained Optimization using Matrices</t>
  </si>
  <si>
    <t>Sum</t>
  </si>
  <si>
    <t>Variance</t>
  </si>
  <si>
    <t>Weight constrained to 1</t>
  </si>
  <si>
    <t>Sum of Weights</t>
  </si>
  <si>
    <t>S&amp;P</t>
  </si>
  <si>
    <t>Hedge</t>
  </si>
  <si>
    <t>Correlation</t>
  </si>
  <si>
    <t>(a)</t>
  </si>
  <si>
    <t>Correlation (part c)</t>
  </si>
  <si>
    <t>Sharpe (S&amp;P)</t>
  </si>
  <si>
    <t>S&amp;P 500 Risk Premium</t>
  </si>
  <si>
    <t>Sharpe (Hedge)</t>
  </si>
  <si>
    <t>S&amp;P 500 Std Dev</t>
  </si>
  <si>
    <t>Hedge Fund Risk Premium</t>
  </si>
  <si>
    <t>Hedge Fund Std Dev</t>
  </si>
  <si>
    <t>Covariance (S&amp;P, Hedge)</t>
  </si>
  <si>
    <t>(c)(i)</t>
  </si>
  <si>
    <t>Weight (S&amp;P)</t>
  </si>
  <si>
    <t>(b)(i)</t>
  </si>
  <si>
    <t>(c)(ii)</t>
  </si>
  <si>
    <t>As correlation rises from 0 to 0.3, the diversification benefit between the S&amp;P 500 and the hedge fund decreases, causing portfolio risk to increase and the Sharpe ratio to fall. Consequently, Greta invests a smaller portion of her wealth in the risky portfolio (68.9% to 52.1%), reflecting a more conservative optimal strategy.</t>
  </si>
  <si>
    <t>Weight (Hedge)</t>
  </si>
  <si>
    <t>Portfolio Mean</t>
  </si>
  <si>
    <t>Portfolio Var</t>
  </si>
  <si>
    <t>Portfolio Stdev</t>
  </si>
  <si>
    <t>Sharpe (Portfolio)</t>
  </si>
  <si>
    <t>Risky Asset Share</t>
  </si>
  <si>
    <t>(b)(ii)</t>
  </si>
  <si>
    <t>Risk-Free Share</t>
  </si>
  <si>
    <t>w</t>
  </si>
  <si>
    <t>T-bill rate</t>
  </si>
  <si>
    <t>Std Dev</t>
  </si>
  <si>
    <t>(d)</t>
  </si>
  <si>
    <t>Expected return of risky fund</t>
  </si>
  <si>
    <t>Std dev of risky fund</t>
  </si>
  <si>
    <t>Client share in risky fund</t>
  </si>
  <si>
    <t>Client share in T-bills</t>
  </si>
  <si>
    <t>Expected return (client)</t>
  </si>
  <si>
    <t>Slope of CAL</t>
  </si>
  <si>
    <t>Std dev (client)</t>
  </si>
  <si>
    <t>(b)</t>
  </si>
  <si>
    <t>Stock A share (in risky fund)</t>
  </si>
  <si>
    <t>Client % in A</t>
  </si>
  <si>
    <t>Stock B share (in risky fund)</t>
  </si>
  <si>
    <t>Client % in B</t>
  </si>
  <si>
    <t>Stock C share (in risky fund)</t>
  </si>
  <si>
    <t>Client % in C</t>
  </si>
  <si>
    <t>Client % in T-bills</t>
  </si>
  <si>
    <t>Sharpe (risky fund)</t>
  </si>
  <si>
    <t>(c)</t>
  </si>
  <si>
    <t>Sharpe (client)</t>
  </si>
  <si>
    <t>Portfolio Choice Summary</t>
  </si>
  <si>
    <t>Risk-free rate</t>
  </si>
  <si>
    <t>Investor</t>
  </si>
  <si>
    <t>Best Portfolio</t>
  </si>
  <si>
    <t>Max Utility</t>
  </si>
  <si>
    <t>Risk aversion (Investor 1)</t>
  </si>
  <si>
    <t>Risk aversion (Investor 2)</t>
  </si>
  <si>
    <t>Risk aversion (Investor 3)</t>
  </si>
  <si>
    <t>Excess Return</t>
  </si>
  <si>
    <t>L</t>
  </si>
  <si>
    <t>M</t>
  </si>
  <si>
    <t>H</t>
  </si>
  <si>
    <t>U1 (A=2)</t>
  </si>
  <si>
    <t>U1 (A=3.5)</t>
  </si>
  <si>
    <t>U1 (A=5)</t>
  </si>
  <si>
    <t>Higher risk aversion reduces utility more sharply for risky portfolios. Investor 1 (least risk-averse) prefers H, while Investors 2 and 3 shift toward M as risk aversion rises, avoiding the highly volatile H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</si>
</sst>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"/>
    <numFmt numFmtId="167" formatCode="0.000000"/>
    <numFmt numFmtId="168" formatCode="0.00000000"/>
    <numFmt numFmtId="169" formatCode="0.00000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1" fillId="0" borderId="0" xfId="0" applyFont="1" applyAlignment="1">
      <alignment wrapText="1"/>
    </xf>
    <xf numFmtId="164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169" fontId="0" fillId="4" borderId="0" xfId="0" applyNumberFormat="1" applyFill="1" applyAlignment="1">
      <alignment horizontal="center"/>
    </xf>
    <xf numFmtId="168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1" fillId="6" borderId="0" xfId="0" applyFont="1" applyFill="1"/>
    <xf numFmtId="9" fontId="0" fillId="6" borderId="0" xfId="0" applyNumberFormat="1" applyFill="1" applyAlignment="1">
      <alignment horizontal="center"/>
    </xf>
    <xf numFmtId="0" fontId="1" fillId="7" borderId="0" xfId="0" applyFont="1" applyFill="1"/>
    <xf numFmtId="164" fontId="0" fillId="7" borderId="0" xfId="0" applyNumberFormat="1" applyFill="1" applyAlignment="1">
      <alignment horizontal="center"/>
    </xf>
    <xf numFmtId="0" fontId="1" fillId="8" borderId="0" xfId="0" applyFont="1" applyFill="1"/>
    <xf numFmtId="164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0" fillId="3" borderId="0" xfId="0" quotePrefix="1" applyNumberFormat="1" applyFill="1" applyAlignment="1">
      <alignment horizontal="center"/>
    </xf>
    <xf numFmtId="164" fontId="1" fillId="9" borderId="0" xfId="0" applyNumberFormat="1" applyFont="1" applyFill="1"/>
    <xf numFmtId="164" fontId="0" fillId="9" borderId="0" xfId="0" applyNumberFormat="1" applyFill="1" applyAlignment="1">
      <alignment horizontal="center"/>
    </xf>
    <xf numFmtId="0" fontId="1" fillId="9" borderId="0" xfId="0" applyFont="1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32" builtinId="9" hidden="1"/>
    <cellStyle name="Followed Hyperlink" xfId="20" builtinId="9" hidden="1"/>
    <cellStyle name="Followed Hyperlink" xfId="12" builtinId="9" hidden="1"/>
    <cellStyle name="Followed Hyperlink" xfId="48" builtinId="9" hidden="1"/>
    <cellStyle name="Followed Hyperlink" xfId="24" builtinId="9" hidden="1"/>
    <cellStyle name="Followed Hyperlink" xfId="64" builtinId="9" hidden="1"/>
    <cellStyle name="Followed Hyperlink" xfId="18" builtinId="9" hidden="1"/>
    <cellStyle name="Followed Hyperlink" xfId="52" builtinId="9" hidden="1"/>
    <cellStyle name="Followed Hyperlink" xfId="36" builtinId="9" hidden="1"/>
    <cellStyle name="Followed Hyperlink" xfId="26" builtinId="9" hidden="1"/>
    <cellStyle name="Followed Hyperlink" xfId="30" builtinId="9" hidden="1"/>
    <cellStyle name="Followed Hyperlink" xfId="38" builtinId="9" hidden="1"/>
    <cellStyle name="Followed Hyperlink" xfId="42" builtinId="9" hidden="1"/>
    <cellStyle name="Followed Hyperlink" xfId="14" builtinId="9" hidden="1"/>
    <cellStyle name="Followed Hyperlink" xfId="54" builtinId="9" hidden="1"/>
    <cellStyle name="Followed Hyperlink" xfId="34" builtinId="9" hidden="1"/>
    <cellStyle name="Followed Hyperlink" xfId="22" builtinId="9" hidden="1"/>
    <cellStyle name="Followed Hyperlink" xfId="58" builtinId="9" hidden="1"/>
    <cellStyle name="Followed Hyperlink" xfId="46" builtinId="9" hidden="1"/>
    <cellStyle name="Followed Hyperlink" xfId="44" builtinId="9" hidden="1"/>
    <cellStyle name="Followed Hyperlink" xfId="50" builtinId="9" hidden="1"/>
    <cellStyle name="Followed Hyperlink" xfId="60" builtinId="9" hidden="1"/>
    <cellStyle name="Followed Hyperlink" xfId="16" builtinId="9" hidden="1"/>
    <cellStyle name="Followed Hyperlink" xfId="62" builtinId="9" hidden="1"/>
    <cellStyle name="Followed Hyperlink" xfId="28" builtinId="9" hidden="1"/>
    <cellStyle name="Followed Hyperlink" xfId="10" builtinId="9" hidden="1"/>
    <cellStyle name="Followed Hyperlink" xfId="40" builtinId="9" hidden="1"/>
    <cellStyle name="Followed Hyperlink" xfId="56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53" builtinId="8" hidden="1"/>
    <cellStyle name="Hyperlink" xfId="5" builtinId="8" hidden="1"/>
    <cellStyle name="Hyperlink" xfId="1" builtinId="8" hidden="1"/>
    <cellStyle name="Hyperlink" xfId="57" builtinId="8" hidden="1"/>
    <cellStyle name="Hyperlink" xfId="7" builtinId="8" hidden="1"/>
    <cellStyle name="Hyperlink" xfId="13" builtinId="8" hidden="1"/>
    <cellStyle name="Hyperlink" xfId="25" builtinId="8" hidden="1"/>
    <cellStyle name="Hyperlink" xfId="19" builtinId="8" hidden="1"/>
    <cellStyle name="Hyperlink" xfId="69" builtinId="8" hidden="1"/>
    <cellStyle name="Hyperlink" xfId="17" builtinId="8" hidden="1"/>
    <cellStyle name="Hyperlink" xfId="9" builtinId="8" hidden="1"/>
    <cellStyle name="Hyperlink" xfId="29" builtinId="8" hidden="1"/>
    <cellStyle name="Hyperlink" xfId="63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9" builtinId="8" hidden="1"/>
    <cellStyle name="Hyperlink" xfId="23" builtinId="8" hidden="1"/>
    <cellStyle name="Hyperlink" xfId="43" builtinId="8" hidden="1"/>
    <cellStyle name="Hyperlink" xfId="45" builtinId="8" hidden="1"/>
    <cellStyle name="Hyperlink" xfId="47" builtinId="8" hidden="1"/>
    <cellStyle name="Hyperlink" xfId="27" builtinId="8" hidden="1"/>
    <cellStyle name="Hyperlink" xfId="11" builtinId="8" hidden="1"/>
    <cellStyle name="Hyperlink" xfId="55" builtinId="8" hidden="1"/>
    <cellStyle name="Hyperlink" xfId="51" builtinId="8" hidden="1"/>
    <cellStyle name="Hyperlink" xfId="61" builtinId="8" hidden="1"/>
    <cellStyle name="Hyperlink" xfId="15" builtinId="8" hidden="1"/>
    <cellStyle name="Hyperlink" xfId="59" builtinId="8" hidden="1"/>
    <cellStyle name="Hyperlink" xfId="67" builtinId="8" hidden="1"/>
    <cellStyle name="Hyperlink" xfId="71" builtinId="8" hidden="1"/>
    <cellStyle name="Hyperlink" xfId="21" builtinId="8" hidden="1"/>
    <cellStyle name="Hyperlink" xfId="65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'Q2'!$G$2</c:f>
              <c:strCache>
                <c:ptCount val="1"/>
                <c:pt idx="0">
                  <c:v>Expected Return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'Q2'!$H$3:$H$6</c:f>
              <c:numCache>
                <c:formatCode>0.0000</c:formatCode>
                <c:ptCount val="4"/>
                <c:pt idx="0">
                  <c:v>0</c:v>
                </c:pt>
                <c:pt idx="1">
                  <c:v>0.14000000000000001</c:v>
                </c:pt>
                <c:pt idx="2">
                  <c:v>0.19600000000000001</c:v>
                </c:pt>
                <c:pt idx="3">
                  <c:v>0.28000000000000003</c:v>
                </c:pt>
              </c:numCache>
            </c:numRef>
          </c:cat>
          <c:val>
            <c:numRef>
              <c:f>'Q2'!$G$3:$G$6</c:f>
              <c:numCache>
                <c:formatCode>0.0000</c:formatCode>
                <c:ptCount val="4"/>
                <c:pt idx="0">
                  <c:v>0.02</c:v>
                </c:pt>
                <c:pt idx="1">
                  <c:v>6.9999999999999993E-2</c:v>
                </c:pt>
                <c:pt idx="2">
                  <c:v>0.09</c:v>
                </c:pt>
                <c:pt idx="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4-4154-B19F-105B31257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743559"/>
        <c:axId val="372790791"/>
      </c:lineChart>
      <c:catAx>
        <c:axId val="1382743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Std Dev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90791"/>
        <c:crosses val="autoZero"/>
        <c:auto val="1"/>
        <c:lblAlgn val="ctr"/>
        <c:lblOffset val="100"/>
        <c:noMultiLvlLbl val="0"/>
      </c:catAx>
      <c:valAx>
        <c:axId val="37279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743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8</xdr:row>
      <xdr:rowOff>152400</xdr:rowOff>
    </xdr:from>
    <xdr:to>
      <xdr:col>12</xdr:col>
      <xdr:colOff>219075</xdr:colOff>
      <xdr:row>25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3247E9-1486-8654-C2C2-26630E8F0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256435-4372-4838-8B7E-20C133F30D3A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5105176240331934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"/>
  <sheetViews>
    <sheetView tabSelected="1" workbookViewId="0">
      <pane ySplit="1" topLeftCell="A2" activePane="bottomLeft" state="frozen"/>
      <selection pane="bottomLeft" activeCell="G10" sqref="G10"/>
    </sheetView>
  </sheetViews>
  <sheetFormatPr baseColWidth="10" defaultColWidth="8.83203125" defaultRowHeight="13" x14ac:dyDescent="0.15"/>
  <cols>
    <col min="1" max="1" width="7" style="4" bestFit="1" customWidth="1"/>
    <col min="2" max="2" width="7" style="1" bestFit="1" customWidth="1"/>
    <col min="3" max="3" width="11.83203125" style="1" bestFit="1" customWidth="1"/>
    <col min="4" max="4" width="13" style="1" bestFit="1" customWidth="1"/>
    <col min="5" max="5" width="14.6640625" style="1" bestFit="1" customWidth="1"/>
    <col min="6" max="16384" width="8.83203125" style="1"/>
  </cols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s="2">
        <v>199001</v>
      </c>
      <c r="B2">
        <v>0</v>
      </c>
      <c r="C2">
        <v>-7.8499999999999986E-2</v>
      </c>
      <c r="D2">
        <v>-4.2705849999999997E-2</v>
      </c>
      <c r="E2">
        <v>2.7203086999999997E-2</v>
      </c>
    </row>
    <row r="3" spans="1:5" x14ac:dyDescent="0.15">
      <c r="A3" s="2">
        <v>199002</v>
      </c>
      <c r="B3">
        <v>0</v>
      </c>
      <c r="C3">
        <v>1.1100000000000002E-2</v>
      </c>
      <c r="D3">
        <v>-7.5282882999999995E-2</v>
      </c>
      <c r="E3">
        <v>3.3518964000000005E-2</v>
      </c>
    </row>
    <row r="4" spans="1:5" x14ac:dyDescent="0.15">
      <c r="A4" s="2">
        <v>199003</v>
      </c>
      <c r="B4">
        <v>0</v>
      </c>
      <c r="C4">
        <v>1.8300000000000004E-2</v>
      </c>
      <c r="D4">
        <v>-0.110371024</v>
      </c>
      <c r="E4">
        <v>-0.141695348</v>
      </c>
    </row>
    <row r="5" spans="1:5" x14ac:dyDescent="0.15">
      <c r="A5" s="2">
        <v>199004</v>
      </c>
      <c r="B5">
        <v>0</v>
      </c>
      <c r="C5">
        <v>-3.3600000000000005E-2</v>
      </c>
      <c r="D5">
        <v>-1.4570132999999999E-2</v>
      </c>
      <c r="E5">
        <v>6.5239488999999998E-2</v>
      </c>
    </row>
    <row r="6" spans="1:5" x14ac:dyDescent="0.15">
      <c r="A6" s="2">
        <v>199005</v>
      </c>
      <c r="B6">
        <v>0</v>
      </c>
      <c r="C6">
        <v>8.4199999999999997E-2</v>
      </c>
      <c r="D6">
        <v>0.107606756</v>
      </c>
      <c r="E6">
        <v>7.5338596999999993E-2</v>
      </c>
    </row>
    <row r="7" spans="1:5" x14ac:dyDescent="0.15">
      <c r="A7" s="2">
        <v>199006</v>
      </c>
      <c r="B7">
        <v>0</v>
      </c>
      <c r="C7">
        <v>-1.09E-2</v>
      </c>
      <c r="D7">
        <v>-1.4868143E-2</v>
      </c>
      <c r="E7">
        <v>2.8254637999999999E-2</v>
      </c>
    </row>
    <row r="8" spans="1:5" x14ac:dyDescent="0.15">
      <c r="A8" s="2">
        <v>199007</v>
      </c>
      <c r="B8">
        <v>0</v>
      </c>
      <c r="C8">
        <v>-1.8999999999999996E-2</v>
      </c>
      <c r="D8">
        <v>7.5440809999999994E-3</v>
      </c>
      <c r="E8">
        <v>8.1374210000000002E-2</v>
      </c>
    </row>
    <row r="9" spans="1:5" x14ac:dyDescent="0.15">
      <c r="A9" s="2">
        <v>199008</v>
      </c>
      <c r="B9">
        <v>0</v>
      </c>
      <c r="C9">
        <v>-0.10149999999999999</v>
      </c>
      <c r="D9">
        <v>-0.103437615</v>
      </c>
      <c r="E9">
        <v>-0.13417979699999999</v>
      </c>
    </row>
    <row r="10" spans="1:5" x14ac:dyDescent="0.15">
      <c r="A10" s="2">
        <v>199009</v>
      </c>
      <c r="B10">
        <v>0</v>
      </c>
      <c r="C10">
        <v>-6.1200000000000004E-2</v>
      </c>
      <c r="D10">
        <v>-0.14507320700000001</v>
      </c>
      <c r="E10">
        <v>-0.13369431100000001</v>
      </c>
    </row>
    <row r="11" spans="1:5" x14ac:dyDescent="0.15">
      <c r="A11" s="2">
        <v>199010</v>
      </c>
      <c r="B11">
        <v>0</v>
      </c>
      <c r="C11">
        <v>-1.9199999999999998E-2</v>
      </c>
      <c r="D11">
        <v>0.14933991699999999</v>
      </c>
      <c r="E11">
        <v>-2.5366262000000001E-2</v>
      </c>
    </row>
    <row r="12" spans="1:5" x14ac:dyDescent="0.15">
      <c r="A12" s="2">
        <v>199011</v>
      </c>
      <c r="B12">
        <v>0</v>
      </c>
      <c r="C12">
        <v>6.3500000000000001E-2</v>
      </c>
      <c r="D12">
        <v>-6.4403238000000002E-2</v>
      </c>
      <c r="E12">
        <v>-5.7885188999999997E-2</v>
      </c>
    </row>
    <row r="13" spans="1:5" x14ac:dyDescent="0.15">
      <c r="A13" s="2">
        <v>199012</v>
      </c>
      <c r="B13">
        <v>0</v>
      </c>
      <c r="C13">
        <v>2.4600000000000004E-2</v>
      </c>
      <c r="D13">
        <v>1.0589295E-2</v>
      </c>
      <c r="E13">
        <v>3.6262093000000002E-2</v>
      </c>
    </row>
    <row r="14" spans="1:5" x14ac:dyDescent="0.15">
      <c r="A14" s="2">
        <v>199101</v>
      </c>
      <c r="B14">
        <v>0</v>
      </c>
      <c r="C14">
        <v>4.6900000000000004E-2</v>
      </c>
      <c r="D14">
        <v>2.7425642000000004E-2</v>
      </c>
      <c r="E14">
        <v>7.5645908999999997E-2</v>
      </c>
    </row>
    <row r="15" spans="1:5" x14ac:dyDescent="0.15">
      <c r="A15" s="2">
        <v>199102</v>
      </c>
      <c r="B15">
        <v>0</v>
      </c>
      <c r="C15">
        <v>7.1900000000000006E-2</v>
      </c>
      <c r="D15">
        <v>0.10269286600000001</v>
      </c>
      <c r="E15">
        <v>0.143140936</v>
      </c>
    </row>
    <row r="16" spans="1:5" x14ac:dyDescent="0.15">
      <c r="A16" s="2">
        <v>199103</v>
      </c>
      <c r="B16">
        <v>0</v>
      </c>
      <c r="C16">
        <v>2.6499999999999999E-2</v>
      </c>
      <c r="D16">
        <v>-6.4190918E-2</v>
      </c>
      <c r="E16">
        <v>3.6697808999999998E-2</v>
      </c>
    </row>
    <row r="17" spans="1:5" x14ac:dyDescent="0.15">
      <c r="A17" s="2">
        <v>199104</v>
      </c>
      <c r="B17">
        <v>0</v>
      </c>
      <c r="C17">
        <v>-2.8E-3</v>
      </c>
      <c r="D17">
        <v>4.8105819999999999E-3</v>
      </c>
      <c r="E17">
        <v>5.2320180000000006E-3</v>
      </c>
    </row>
    <row r="18" spans="1:5" x14ac:dyDescent="0.15">
      <c r="A18" s="2">
        <v>199105</v>
      </c>
      <c r="B18">
        <v>0</v>
      </c>
      <c r="C18">
        <v>3.6499999999999998E-2</v>
      </c>
      <c r="D18">
        <v>6.0294720000000001E-3</v>
      </c>
      <c r="E18">
        <v>7.3760804999999999E-2</v>
      </c>
    </row>
    <row r="19" spans="1:5" x14ac:dyDescent="0.15">
      <c r="A19" s="2">
        <v>199106</v>
      </c>
      <c r="B19">
        <v>0</v>
      </c>
      <c r="C19">
        <v>-4.9400000000000006E-2</v>
      </c>
      <c r="D19">
        <v>-7.7419349999999998E-2</v>
      </c>
      <c r="E19">
        <v>-3.9921509000000001E-2</v>
      </c>
    </row>
    <row r="20" spans="1:5" x14ac:dyDescent="0.15">
      <c r="A20" s="2">
        <v>199107</v>
      </c>
      <c r="B20">
        <v>0</v>
      </c>
      <c r="C20">
        <v>4.2400000000000007E-2</v>
      </c>
      <c r="D20">
        <v>4.4503350999999997E-2</v>
      </c>
      <c r="E20">
        <v>4.6944951999999998E-2</v>
      </c>
    </row>
    <row r="21" spans="1:5" x14ac:dyDescent="0.15">
      <c r="A21" s="2">
        <v>199108</v>
      </c>
      <c r="B21">
        <v>0</v>
      </c>
      <c r="C21">
        <v>2.3199999999999998E-2</v>
      </c>
      <c r="D21">
        <v>-2.4663398999999999E-2</v>
      </c>
      <c r="E21">
        <v>1.6470492E-2</v>
      </c>
    </row>
    <row r="22" spans="1:5" x14ac:dyDescent="0.15">
      <c r="A22" s="2">
        <v>199109</v>
      </c>
      <c r="B22">
        <v>0</v>
      </c>
      <c r="C22">
        <v>-1.5900000000000001E-2</v>
      </c>
      <c r="D22">
        <v>5.2058957000000003E-2</v>
      </c>
      <c r="E22">
        <v>-4.2931931999999999E-2</v>
      </c>
    </row>
    <row r="23" spans="1:5" x14ac:dyDescent="0.15">
      <c r="A23" s="2">
        <v>199110</v>
      </c>
      <c r="B23">
        <v>0</v>
      </c>
      <c r="C23">
        <v>1.2900000000000002E-2</v>
      </c>
      <c r="D23">
        <v>1.0226453E-2</v>
      </c>
      <c r="E23">
        <v>3.6606422E-2</v>
      </c>
    </row>
    <row r="24" spans="1:5" x14ac:dyDescent="0.15">
      <c r="A24" s="2">
        <v>199111</v>
      </c>
      <c r="B24">
        <v>0</v>
      </c>
      <c r="C24">
        <v>-4.1900000000000007E-2</v>
      </c>
      <c r="D24">
        <v>-5.0319081000000002E-2</v>
      </c>
      <c r="E24">
        <v>-1.8759130999999998E-2</v>
      </c>
    </row>
    <row r="25" spans="1:5" x14ac:dyDescent="0.15">
      <c r="A25" s="2">
        <v>199112</v>
      </c>
      <c r="B25">
        <v>0</v>
      </c>
      <c r="C25">
        <v>0.10840000000000001</v>
      </c>
      <c r="D25">
        <v>4.8156586000000001E-2</v>
      </c>
      <c r="E25">
        <v>0.108557325</v>
      </c>
    </row>
    <row r="26" spans="1:5" x14ac:dyDescent="0.15">
      <c r="A26" s="2">
        <v>199201</v>
      </c>
      <c r="B26">
        <v>0</v>
      </c>
      <c r="C26">
        <v>-5.8999999999999999E-3</v>
      </c>
      <c r="D26">
        <v>-2.4466627000000001E-2</v>
      </c>
      <c r="E26">
        <v>0.11236615599999999</v>
      </c>
    </row>
    <row r="27" spans="1:5" x14ac:dyDescent="0.15">
      <c r="A27" s="2">
        <v>199202</v>
      </c>
      <c r="B27">
        <v>0</v>
      </c>
      <c r="C27">
        <v>1.0900000000000002E-2</v>
      </c>
      <c r="D27">
        <v>-3.8317934999999997E-2</v>
      </c>
      <c r="E27">
        <v>4.1626952999999994E-2</v>
      </c>
    </row>
    <row r="28" spans="1:5" x14ac:dyDescent="0.15">
      <c r="A28" s="2">
        <v>199203</v>
      </c>
      <c r="B28">
        <v>0</v>
      </c>
      <c r="C28">
        <v>-2.6600000000000002E-2</v>
      </c>
      <c r="D28">
        <v>-6.9138913999999996E-2</v>
      </c>
      <c r="E28">
        <v>3.0435492000000001E-2</v>
      </c>
    </row>
    <row r="29" spans="1:5" x14ac:dyDescent="0.15">
      <c r="A29" s="2">
        <v>199204</v>
      </c>
      <c r="B29">
        <v>0</v>
      </c>
      <c r="C29">
        <v>1.0700000000000001E-2</v>
      </c>
      <c r="D29">
        <v>1.8068789999999995E-3</v>
      </c>
      <c r="E29">
        <v>-1.0146428000000001E-2</v>
      </c>
    </row>
    <row r="30" spans="1:5" x14ac:dyDescent="0.15">
      <c r="A30" s="2">
        <v>199205</v>
      </c>
      <c r="B30">
        <v>0</v>
      </c>
      <c r="C30">
        <v>3.0000000000000001E-3</v>
      </c>
      <c r="D30">
        <v>6.4442962000000006E-2</v>
      </c>
      <c r="E30">
        <v>-6.3870590000000005E-3</v>
      </c>
    </row>
    <row r="31" spans="1:5" x14ac:dyDescent="0.15">
      <c r="A31" s="2">
        <v>199206</v>
      </c>
      <c r="B31">
        <v>0</v>
      </c>
      <c r="C31">
        <v>-2.3400000000000001E-2</v>
      </c>
      <c r="D31">
        <v>-5.0300138000000001E-2</v>
      </c>
      <c r="E31">
        <v>-0.102399247</v>
      </c>
    </row>
    <row r="32" spans="1:5" x14ac:dyDescent="0.15">
      <c r="A32" s="2">
        <v>199207</v>
      </c>
      <c r="B32">
        <v>0</v>
      </c>
      <c r="C32">
        <v>3.7700000000000004E-2</v>
      </c>
      <c r="D32">
        <v>-2.8373209E-2</v>
      </c>
      <c r="E32">
        <v>7.7735059999999995E-3</v>
      </c>
    </row>
    <row r="33" spans="1:5" x14ac:dyDescent="0.15">
      <c r="A33" s="2">
        <v>199208</v>
      </c>
      <c r="B33">
        <v>0</v>
      </c>
      <c r="C33">
        <v>-2.3800000000000002E-2</v>
      </c>
      <c r="D33">
        <v>6.0461622E-2</v>
      </c>
      <c r="E33">
        <v>-4.9226520999999995E-2</v>
      </c>
    </row>
    <row r="34" spans="1:5" x14ac:dyDescent="0.15">
      <c r="A34" s="2">
        <v>199209</v>
      </c>
      <c r="B34">
        <v>0</v>
      </c>
      <c r="C34">
        <v>1.1899999999999999E-2</v>
      </c>
      <c r="D34">
        <v>-2.2029502000000003E-2</v>
      </c>
      <c r="E34">
        <v>8.3231699999999952E-4</v>
      </c>
    </row>
    <row r="35" spans="1:5" x14ac:dyDescent="0.15">
      <c r="A35" s="2">
        <v>199210</v>
      </c>
      <c r="B35">
        <v>0</v>
      </c>
      <c r="C35">
        <v>1.0200000000000001E-2</v>
      </c>
      <c r="D35">
        <v>-5.4450907000000007E-2</v>
      </c>
      <c r="E35">
        <v>5.1188290999999997E-2</v>
      </c>
    </row>
    <row r="36" spans="1:5" x14ac:dyDescent="0.15">
      <c r="A36" s="2">
        <v>199211</v>
      </c>
      <c r="B36">
        <v>0</v>
      </c>
      <c r="C36">
        <v>4.1300000000000003E-2</v>
      </c>
      <c r="D36">
        <v>7.4171670000000006E-3</v>
      </c>
      <c r="E36">
        <v>-1.3072444000000001E-2</v>
      </c>
    </row>
    <row r="37" spans="1:5" x14ac:dyDescent="0.15">
      <c r="A37" s="2">
        <v>199212</v>
      </c>
      <c r="B37">
        <v>0</v>
      </c>
      <c r="C37">
        <v>1.5300000000000001E-2</v>
      </c>
      <c r="D37">
        <v>2.6750339999999997E-3</v>
      </c>
      <c r="E37">
        <v>2.6595360999999998E-2</v>
      </c>
    </row>
    <row r="38" spans="1:5" x14ac:dyDescent="0.15">
      <c r="A38" s="2">
        <v>199301</v>
      </c>
      <c r="B38">
        <v>0</v>
      </c>
      <c r="C38">
        <v>9.300000000000001E-3</v>
      </c>
      <c r="D38">
        <v>-2.1238059999999998E-3</v>
      </c>
      <c r="E38">
        <v>2.5356290000000002E-3</v>
      </c>
    </row>
    <row r="39" spans="1:5" x14ac:dyDescent="0.15">
      <c r="A39" s="2">
        <v>199302</v>
      </c>
      <c r="B39">
        <v>0</v>
      </c>
      <c r="C39">
        <v>1.1999999999999997E-3</v>
      </c>
      <c r="D39">
        <v>2.8302580000000001E-2</v>
      </c>
      <c r="E39">
        <v>1.4569115000000001E-2</v>
      </c>
    </row>
    <row r="40" spans="1:5" x14ac:dyDescent="0.15">
      <c r="A40" s="2">
        <v>199303</v>
      </c>
      <c r="B40">
        <v>0</v>
      </c>
      <c r="C40">
        <v>2.3E-2</v>
      </c>
      <c r="D40">
        <v>8.4957223999999998E-2</v>
      </c>
      <c r="E40">
        <v>3.0569947000000004E-2</v>
      </c>
    </row>
    <row r="41" spans="1:5" x14ac:dyDescent="0.15">
      <c r="A41" s="2">
        <v>199304</v>
      </c>
      <c r="B41">
        <v>0</v>
      </c>
      <c r="C41">
        <v>-3.0499999999999996E-2</v>
      </c>
      <c r="D41">
        <v>9.2777360000000003E-2</v>
      </c>
      <c r="E41">
        <v>2.0597238E-2</v>
      </c>
    </row>
    <row r="42" spans="1:5" x14ac:dyDescent="0.15">
      <c r="A42" s="2">
        <v>199305</v>
      </c>
      <c r="B42">
        <v>0</v>
      </c>
      <c r="C42">
        <v>2.8900000000000002E-2</v>
      </c>
      <c r="D42">
        <v>1.9164076999999998E-2</v>
      </c>
      <c r="E42">
        <v>2.5661967000000001E-2</v>
      </c>
    </row>
    <row r="43" spans="1:5" x14ac:dyDescent="0.15">
      <c r="A43" s="2">
        <v>199306</v>
      </c>
      <c r="B43">
        <v>0</v>
      </c>
      <c r="C43">
        <v>3.1000000000000008E-3</v>
      </c>
      <c r="D43">
        <v>-1.7871437E-2</v>
      </c>
      <c r="E43">
        <v>2.7152629000000001E-2</v>
      </c>
    </row>
    <row r="44" spans="1:5" x14ac:dyDescent="0.15">
      <c r="A44" s="2">
        <v>199307</v>
      </c>
      <c r="B44">
        <v>0</v>
      </c>
      <c r="C44">
        <v>-3.4000000000000002E-3</v>
      </c>
      <c r="D44">
        <v>3.2834934000000003E-2</v>
      </c>
      <c r="E44">
        <v>2.4013797E-2</v>
      </c>
    </row>
    <row r="45" spans="1:5" x14ac:dyDescent="0.15">
      <c r="A45" s="2">
        <v>199308</v>
      </c>
      <c r="B45">
        <v>0</v>
      </c>
      <c r="C45">
        <v>3.7100000000000001E-2</v>
      </c>
      <c r="D45">
        <v>5.1709942999999994E-2</v>
      </c>
      <c r="E45">
        <v>8.1938306000000002E-2</v>
      </c>
    </row>
    <row r="46" spans="1:5" x14ac:dyDescent="0.15">
      <c r="A46" s="2">
        <v>199309</v>
      </c>
      <c r="B46">
        <v>0</v>
      </c>
      <c r="C46">
        <v>-1.2000000000000001E-3</v>
      </c>
      <c r="D46">
        <v>-2.4889993000000003E-2</v>
      </c>
      <c r="E46">
        <v>3.3975183999999999E-2</v>
      </c>
    </row>
    <row r="47" spans="1:5" x14ac:dyDescent="0.15">
      <c r="A47" s="2">
        <v>199310</v>
      </c>
      <c r="B47">
        <v>0</v>
      </c>
      <c r="C47">
        <v>1.4099999999999998E-2</v>
      </c>
      <c r="D47">
        <v>2.8837135E-2</v>
      </c>
      <c r="E47">
        <v>8.7522806000000009E-2</v>
      </c>
    </row>
    <row r="48" spans="1:5" x14ac:dyDescent="0.15">
      <c r="A48" s="2">
        <v>199311</v>
      </c>
      <c r="B48">
        <v>0</v>
      </c>
      <c r="C48">
        <v>-1.8899999999999997E-2</v>
      </c>
      <c r="D48">
        <v>-8.9700500000000002E-2</v>
      </c>
      <c r="E48">
        <v>4.1752376000000001E-2</v>
      </c>
    </row>
    <row r="49" spans="1:5" x14ac:dyDescent="0.15">
      <c r="A49" s="2">
        <v>199312</v>
      </c>
      <c r="B49">
        <v>0</v>
      </c>
      <c r="C49">
        <v>1.6500000000000001E-2</v>
      </c>
      <c r="D49">
        <v>7.0134272999999997E-2</v>
      </c>
      <c r="E49">
        <v>0.16299592600000001</v>
      </c>
    </row>
    <row r="50" spans="1:5" x14ac:dyDescent="0.15">
      <c r="A50" s="2">
        <v>199401</v>
      </c>
      <c r="B50">
        <v>0</v>
      </c>
      <c r="C50">
        <v>2.8700000000000003E-2</v>
      </c>
      <c r="D50">
        <v>8.2260795999999997E-2</v>
      </c>
      <c r="E50">
        <v>1.5693819000000001E-2</v>
      </c>
    </row>
    <row r="51" spans="1:5" x14ac:dyDescent="0.15">
      <c r="A51" s="2">
        <v>199402</v>
      </c>
      <c r="B51">
        <v>0</v>
      </c>
      <c r="C51">
        <v>-2.5500000000000002E-2</v>
      </c>
      <c r="D51">
        <v>-4.6643450000000003E-3</v>
      </c>
      <c r="E51">
        <v>-1.9889587E-2</v>
      </c>
    </row>
    <row r="52" spans="1:5" x14ac:dyDescent="0.15">
      <c r="A52" s="2">
        <v>199403</v>
      </c>
      <c r="B52">
        <v>0</v>
      </c>
      <c r="C52">
        <v>-4.7800000000000002E-2</v>
      </c>
      <c r="D52">
        <v>-4.5558380000000002E-2</v>
      </c>
      <c r="E52">
        <v>-9.3189219999999989E-2</v>
      </c>
    </row>
    <row r="53" spans="1:5" x14ac:dyDescent="0.15">
      <c r="A53" s="2">
        <v>199404</v>
      </c>
      <c r="B53">
        <v>0</v>
      </c>
      <c r="C53">
        <v>6.8000000000000014E-3</v>
      </c>
      <c r="D53">
        <v>3.9951593000000001E-2</v>
      </c>
      <c r="E53">
        <v>-2.2702351000000003E-2</v>
      </c>
    </row>
    <row r="54" spans="1:5" x14ac:dyDescent="0.15">
      <c r="A54" s="2">
        <v>199405</v>
      </c>
      <c r="B54">
        <v>0</v>
      </c>
      <c r="C54">
        <v>5.7999999999999996E-3</v>
      </c>
      <c r="D54">
        <v>-8.6277709999999994E-3</v>
      </c>
      <c r="E54">
        <v>3.1124538E-2</v>
      </c>
    </row>
    <row r="55" spans="1:5" x14ac:dyDescent="0.15">
      <c r="A55" s="2">
        <v>199406</v>
      </c>
      <c r="B55">
        <v>0</v>
      </c>
      <c r="C55">
        <v>-3.0299999999999997E-2</v>
      </c>
      <c r="D55">
        <v>1.1255794999999999E-2</v>
      </c>
      <c r="E55">
        <v>-3.0664043999999998E-2</v>
      </c>
    </row>
    <row r="56" spans="1:5" x14ac:dyDescent="0.15">
      <c r="A56" s="2">
        <v>199407</v>
      </c>
      <c r="B56">
        <v>0</v>
      </c>
      <c r="C56">
        <v>2.8199999999999996E-2</v>
      </c>
      <c r="D56">
        <v>7.0373969999999991E-3</v>
      </c>
      <c r="E56">
        <v>5.9378306000000006E-2</v>
      </c>
    </row>
    <row r="57" spans="1:5" x14ac:dyDescent="0.15">
      <c r="A57" s="2">
        <v>199408</v>
      </c>
      <c r="B57">
        <v>0</v>
      </c>
      <c r="C57">
        <v>4.0099999999999997E-2</v>
      </c>
      <c r="D57">
        <v>2.0195346000000003E-2</v>
      </c>
      <c r="E57">
        <v>0.12041297300000001</v>
      </c>
    </row>
    <row r="58" spans="1:5" x14ac:dyDescent="0.15">
      <c r="A58" s="2">
        <v>199409</v>
      </c>
      <c r="B58">
        <v>0</v>
      </c>
      <c r="C58">
        <v>-2.3100000000000002E-2</v>
      </c>
      <c r="D58">
        <v>-3.4976402000000004E-2</v>
      </c>
      <c r="E58">
        <v>7.6646400000000003E-3</v>
      </c>
    </row>
    <row r="59" spans="1:5" x14ac:dyDescent="0.15">
      <c r="A59" s="2">
        <v>199410</v>
      </c>
      <c r="B59">
        <v>0</v>
      </c>
      <c r="C59">
        <v>1.3400000000000004E-2</v>
      </c>
      <c r="D59">
        <v>2.9733451999999997E-2</v>
      </c>
      <c r="E59">
        <v>-2.1838352000000002E-2</v>
      </c>
    </row>
    <row r="60" spans="1:5" x14ac:dyDescent="0.15">
      <c r="A60" s="2">
        <v>199411</v>
      </c>
      <c r="B60">
        <v>0</v>
      </c>
      <c r="C60">
        <v>-4.0400000000000005E-2</v>
      </c>
      <c r="D60">
        <v>-5.1540465000000001E-2</v>
      </c>
      <c r="E60">
        <v>-5.5694315000000001E-2</v>
      </c>
    </row>
    <row r="61" spans="1:5" x14ac:dyDescent="0.15">
      <c r="A61" s="2">
        <v>199412</v>
      </c>
      <c r="B61">
        <v>0</v>
      </c>
      <c r="C61">
        <v>8.6E-3</v>
      </c>
      <c r="D61">
        <v>2.0958079999999994E-3</v>
      </c>
      <c r="E61">
        <v>-8.4716358000000005E-2</v>
      </c>
    </row>
    <row r="62" spans="1:5" x14ac:dyDescent="0.15">
      <c r="A62" s="2">
        <v>199501</v>
      </c>
      <c r="B62">
        <v>0</v>
      </c>
      <c r="C62">
        <v>1.8000000000000002E-2</v>
      </c>
      <c r="D62">
        <v>-4.2377925000000004E-2</v>
      </c>
      <c r="E62">
        <v>-0.110592049</v>
      </c>
    </row>
    <row r="63" spans="1:5" x14ac:dyDescent="0.15">
      <c r="A63" s="2">
        <v>199502</v>
      </c>
      <c r="B63">
        <v>0</v>
      </c>
      <c r="C63">
        <v>3.6299999999999999E-2</v>
      </c>
      <c r="D63">
        <v>-6.613776E-3</v>
      </c>
      <c r="E63">
        <v>-2.9647070000000001E-2</v>
      </c>
    </row>
    <row r="64" spans="1:5" x14ac:dyDescent="0.15">
      <c r="A64" s="2">
        <v>199503</v>
      </c>
      <c r="B64">
        <v>0</v>
      </c>
      <c r="C64">
        <v>2.1899999999999999E-2</v>
      </c>
      <c r="D64">
        <v>5.8051496000000001E-2</v>
      </c>
      <c r="E64">
        <v>1.7534910000000003E-3</v>
      </c>
    </row>
    <row r="65" spans="1:5" x14ac:dyDescent="0.15">
      <c r="A65" s="2">
        <v>199504</v>
      </c>
      <c r="B65">
        <v>0</v>
      </c>
      <c r="C65">
        <v>2.1099999999999997E-2</v>
      </c>
      <c r="D65">
        <v>3.3475382999999997E-2</v>
      </c>
      <c r="E65">
        <v>4.0461435999999996E-2</v>
      </c>
    </row>
    <row r="66" spans="1:5" x14ac:dyDescent="0.15">
      <c r="A66" s="2">
        <v>199505</v>
      </c>
      <c r="B66">
        <v>0</v>
      </c>
      <c r="C66">
        <v>2.8999999999999998E-2</v>
      </c>
      <c r="D66">
        <v>-1.7062789000000002E-2</v>
      </c>
      <c r="E66">
        <v>4.7799375999999998E-2</v>
      </c>
    </row>
    <row r="67" spans="1:5" x14ac:dyDescent="0.15">
      <c r="A67" s="2">
        <v>199506</v>
      </c>
      <c r="B67">
        <v>0</v>
      </c>
      <c r="C67">
        <v>2.7200000000000005E-2</v>
      </c>
      <c r="D67">
        <v>-2.1971215999999998E-2</v>
      </c>
      <c r="E67">
        <v>-1.7421590000000001E-3</v>
      </c>
    </row>
    <row r="68" spans="1:5" x14ac:dyDescent="0.15">
      <c r="A68" s="2">
        <v>199507</v>
      </c>
      <c r="B68">
        <v>0</v>
      </c>
      <c r="C68">
        <v>3.7199999999999997E-2</v>
      </c>
      <c r="D68">
        <v>5.8028280000000002E-2</v>
      </c>
      <c r="E68">
        <v>1.7946834999999998E-2</v>
      </c>
    </row>
    <row r="69" spans="1:5" x14ac:dyDescent="0.15">
      <c r="A69" s="2">
        <v>199508</v>
      </c>
      <c r="B69">
        <v>0</v>
      </c>
      <c r="C69">
        <v>5.5000000000000005E-3</v>
      </c>
      <c r="D69">
        <v>-4.2603556000000001E-2</v>
      </c>
      <c r="E69">
        <v>-2.8255150999999999E-2</v>
      </c>
    </row>
    <row r="70" spans="1:5" x14ac:dyDescent="0.15">
      <c r="A70" s="2">
        <v>199509</v>
      </c>
      <c r="B70">
        <v>0</v>
      </c>
      <c r="C70">
        <v>3.3500000000000002E-2</v>
      </c>
      <c r="D70">
        <v>1.5490149999999999E-2</v>
      </c>
      <c r="E70">
        <v>-9.0460660000000002E-3</v>
      </c>
    </row>
    <row r="71" spans="1:5" x14ac:dyDescent="0.15">
      <c r="A71" s="2">
        <v>199510</v>
      </c>
      <c r="B71">
        <v>0</v>
      </c>
      <c r="C71">
        <v>-1.5200000000000002E-2</v>
      </c>
      <c r="D71">
        <v>-3.1323629999999998E-2</v>
      </c>
      <c r="E71">
        <v>-4.2980068000000003E-2</v>
      </c>
    </row>
    <row r="72" spans="1:5" x14ac:dyDescent="0.15">
      <c r="A72" s="2">
        <v>199511</v>
      </c>
      <c r="B72">
        <v>0</v>
      </c>
      <c r="C72">
        <v>3.9599999999999996E-2</v>
      </c>
      <c r="D72">
        <v>2.3885100000000003E-2</v>
      </c>
      <c r="E72">
        <v>-2.2033269999999997E-2</v>
      </c>
    </row>
    <row r="73" spans="1:5" x14ac:dyDescent="0.15">
      <c r="A73" s="2">
        <v>199512</v>
      </c>
      <c r="B73">
        <v>0</v>
      </c>
      <c r="C73">
        <v>1.03E-2</v>
      </c>
      <c r="D73">
        <v>3.5645812999999998E-2</v>
      </c>
      <c r="E73">
        <v>3.9452023999999995E-2</v>
      </c>
    </row>
    <row r="74" spans="1:5" x14ac:dyDescent="0.15">
      <c r="A74" s="2">
        <v>199601</v>
      </c>
      <c r="B74">
        <v>0</v>
      </c>
      <c r="C74">
        <v>2.2600000000000002E-2</v>
      </c>
      <c r="D74">
        <v>4.3014000000000073E-5</v>
      </c>
      <c r="E74">
        <v>6.6781764000000007E-2</v>
      </c>
    </row>
    <row r="75" spans="1:5" x14ac:dyDescent="0.15">
      <c r="A75" s="2">
        <v>199602</v>
      </c>
      <c r="B75">
        <v>0</v>
      </c>
      <c r="C75">
        <v>1.3300000000000003E-2</v>
      </c>
      <c r="D75">
        <v>-2.6987300000000033E-4</v>
      </c>
      <c r="E75">
        <v>-1.9799544000000002E-2</v>
      </c>
    </row>
    <row r="76" spans="1:5" x14ac:dyDescent="0.15">
      <c r="A76" s="2">
        <v>199603</v>
      </c>
      <c r="B76">
        <v>0</v>
      </c>
      <c r="C76">
        <v>7.3000000000000009E-3</v>
      </c>
      <c r="D76">
        <v>1.7589429E-2</v>
      </c>
      <c r="E76">
        <v>3.8887479999999996E-3</v>
      </c>
    </row>
    <row r="77" spans="1:5" x14ac:dyDescent="0.15">
      <c r="A77" s="2">
        <v>199604</v>
      </c>
      <c r="B77">
        <v>0</v>
      </c>
      <c r="C77">
        <v>2.06E-2</v>
      </c>
      <c r="D77">
        <v>2.4719537999999999E-2</v>
      </c>
      <c r="E77">
        <v>3.53826E-2</v>
      </c>
    </row>
    <row r="78" spans="1:5" x14ac:dyDescent="0.15">
      <c r="A78" s="2">
        <v>199605</v>
      </c>
      <c r="B78">
        <v>0</v>
      </c>
      <c r="C78">
        <v>2.3599999999999999E-2</v>
      </c>
      <c r="D78">
        <v>-2.2363115999999999E-2</v>
      </c>
      <c r="E78">
        <v>-8.6652410000000006E-3</v>
      </c>
    </row>
    <row r="79" spans="1:5" x14ac:dyDescent="0.15">
      <c r="A79" s="2">
        <v>199606</v>
      </c>
      <c r="B79">
        <v>0</v>
      </c>
      <c r="C79">
        <v>-1.1399999999999999E-2</v>
      </c>
      <c r="D79">
        <v>1.8730120000000003E-3</v>
      </c>
      <c r="E79">
        <v>2.2444170000000003E-3</v>
      </c>
    </row>
    <row r="80" spans="1:5" x14ac:dyDescent="0.15">
      <c r="A80" s="2">
        <v>199607</v>
      </c>
      <c r="B80">
        <v>0</v>
      </c>
      <c r="C80">
        <v>-5.9700000000000003E-2</v>
      </c>
      <c r="D80">
        <v>-3.3477372000000005E-2</v>
      </c>
      <c r="E80">
        <v>-7.2843610000000003E-2</v>
      </c>
    </row>
    <row r="81" spans="1:5" x14ac:dyDescent="0.15">
      <c r="A81" s="2">
        <v>199608</v>
      </c>
      <c r="B81">
        <v>0</v>
      </c>
      <c r="C81">
        <v>2.7700000000000002E-2</v>
      </c>
      <c r="D81">
        <v>-1.6508329999999996E-3</v>
      </c>
      <c r="E81">
        <v>2.1496727E-2</v>
      </c>
    </row>
    <row r="82" spans="1:5" x14ac:dyDescent="0.15">
      <c r="A82" s="2">
        <v>199609</v>
      </c>
      <c r="B82">
        <v>0</v>
      </c>
      <c r="C82">
        <v>5.0099999999999999E-2</v>
      </c>
      <c r="D82">
        <v>2.2418493999999997E-2</v>
      </c>
      <c r="E82">
        <v>4.2628750000000002E-3</v>
      </c>
    </row>
    <row r="83" spans="1:5" x14ac:dyDescent="0.15">
      <c r="A83" s="2">
        <v>199610</v>
      </c>
      <c r="B83">
        <v>0</v>
      </c>
      <c r="C83">
        <v>8.6E-3</v>
      </c>
      <c r="D83">
        <v>-1.4184817999999998E-2</v>
      </c>
      <c r="E83">
        <v>-3.0869907999999998E-2</v>
      </c>
    </row>
    <row r="84" spans="1:5" x14ac:dyDescent="0.15">
      <c r="A84" s="2">
        <v>199611</v>
      </c>
      <c r="B84">
        <v>0</v>
      </c>
      <c r="C84">
        <v>6.25E-2</v>
      </c>
      <c r="D84">
        <v>3.5938011999999998E-2</v>
      </c>
      <c r="E84">
        <v>1.2655714000000002E-2</v>
      </c>
    </row>
    <row r="85" spans="1:5" x14ac:dyDescent="0.15">
      <c r="A85" s="2">
        <v>199612</v>
      </c>
      <c r="B85">
        <v>0</v>
      </c>
      <c r="C85">
        <v>-1.7000000000000001E-2</v>
      </c>
      <c r="D85">
        <v>-1.7223486999999999E-2</v>
      </c>
      <c r="E85">
        <v>-7.7011000000000093E-5</v>
      </c>
    </row>
    <row r="86" spans="1:5" x14ac:dyDescent="0.15">
      <c r="A86" s="2">
        <v>199701</v>
      </c>
      <c r="B86">
        <v>0</v>
      </c>
      <c r="C86">
        <v>4.9800000000000011E-2</v>
      </c>
      <c r="D86">
        <v>-3.9266231999999998E-2</v>
      </c>
      <c r="E86">
        <v>6.3709678999999991E-2</v>
      </c>
    </row>
    <row r="87" spans="1:5" x14ac:dyDescent="0.15">
      <c r="A87" s="2">
        <v>199702</v>
      </c>
      <c r="B87">
        <v>0</v>
      </c>
      <c r="C87">
        <v>-4.8999999999999998E-3</v>
      </c>
      <c r="D87">
        <v>1.2697409E-2</v>
      </c>
      <c r="E87">
        <v>3.8925355000000002E-2</v>
      </c>
    </row>
    <row r="88" spans="1:5" x14ac:dyDescent="0.15">
      <c r="A88" s="2">
        <v>199703</v>
      </c>
      <c r="B88">
        <v>0</v>
      </c>
      <c r="C88">
        <v>-5.0199999999999995E-2</v>
      </c>
      <c r="D88">
        <v>-4.3236000000000012E-4</v>
      </c>
      <c r="E88">
        <v>-3.0567851E-2</v>
      </c>
    </row>
    <row r="89" spans="1:5" x14ac:dyDescent="0.15">
      <c r="A89" s="2">
        <v>199704</v>
      </c>
      <c r="B89">
        <v>0</v>
      </c>
      <c r="C89">
        <v>4.0399999999999998E-2</v>
      </c>
      <c r="D89">
        <v>1.2478979999999999E-3</v>
      </c>
      <c r="E89">
        <v>-2.5334649999999999E-3</v>
      </c>
    </row>
    <row r="90" spans="1:5" x14ac:dyDescent="0.15">
      <c r="A90" s="2">
        <v>199705</v>
      </c>
      <c r="B90">
        <v>0</v>
      </c>
      <c r="C90">
        <v>6.7400000000000002E-2</v>
      </c>
      <c r="D90">
        <v>6.0421742000000001E-2</v>
      </c>
      <c r="E90">
        <v>2.3720368999999998E-2</v>
      </c>
    </row>
    <row r="91" spans="1:5" x14ac:dyDescent="0.15">
      <c r="A91" s="2">
        <v>199706</v>
      </c>
      <c r="B91">
        <v>0</v>
      </c>
      <c r="C91">
        <v>4.0999999999999995E-2</v>
      </c>
      <c r="D91">
        <v>5.1674945E-2</v>
      </c>
      <c r="E91">
        <v>4.9817030999999998E-2</v>
      </c>
    </row>
    <row r="92" spans="1:5" x14ac:dyDescent="0.15">
      <c r="A92" s="2">
        <v>199707</v>
      </c>
      <c r="B92">
        <v>0</v>
      </c>
      <c r="C92">
        <v>7.3300000000000004E-2</v>
      </c>
      <c r="D92">
        <v>1.2083337000000001E-2</v>
      </c>
      <c r="E92">
        <v>1.0627924E-2</v>
      </c>
    </row>
    <row r="93" spans="1:5" x14ac:dyDescent="0.15">
      <c r="A93" s="2">
        <v>199708</v>
      </c>
      <c r="B93">
        <v>0</v>
      </c>
      <c r="C93">
        <v>-4.1500000000000002E-2</v>
      </c>
      <c r="D93">
        <v>-7.8578857000000002E-2</v>
      </c>
      <c r="E93">
        <v>-0.131349295</v>
      </c>
    </row>
    <row r="94" spans="1:5" x14ac:dyDescent="0.15">
      <c r="A94" s="2">
        <v>199709</v>
      </c>
      <c r="B94">
        <v>0</v>
      </c>
      <c r="C94">
        <v>5.3499999999999999E-2</v>
      </c>
      <c r="D94">
        <v>5.1844583E-2</v>
      </c>
      <c r="E94">
        <v>2.3308053999999998E-2</v>
      </c>
    </row>
    <row r="95" spans="1:5" x14ac:dyDescent="0.15">
      <c r="A95" s="2">
        <v>199710</v>
      </c>
      <c r="B95">
        <v>0</v>
      </c>
      <c r="C95">
        <v>-3.7999999999999999E-2</v>
      </c>
      <c r="D95">
        <v>-8.0845767999999998E-2</v>
      </c>
      <c r="E95">
        <v>-0.168287461</v>
      </c>
    </row>
    <row r="96" spans="1:5" x14ac:dyDescent="0.15">
      <c r="A96" s="2">
        <v>199711</v>
      </c>
      <c r="B96">
        <v>0</v>
      </c>
      <c r="C96">
        <v>2.98E-2</v>
      </c>
      <c r="D96">
        <v>-1.3863566000000001E-2</v>
      </c>
      <c r="E96">
        <v>-4.0387638000000003E-2</v>
      </c>
    </row>
    <row r="97" spans="1:5" x14ac:dyDescent="0.15">
      <c r="A97" s="2">
        <v>199712</v>
      </c>
      <c r="B97">
        <v>0</v>
      </c>
      <c r="C97">
        <v>1.3200000000000003E-2</v>
      </c>
      <c r="D97">
        <v>4.1524550000000002E-3</v>
      </c>
      <c r="E97">
        <v>1.9298010000000001E-2</v>
      </c>
    </row>
    <row r="98" spans="1:5" x14ac:dyDescent="0.15">
      <c r="A98" s="2">
        <v>199801</v>
      </c>
      <c r="B98">
        <v>0</v>
      </c>
      <c r="C98">
        <v>1.4999999999999996E-3</v>
      </c>
      <c r="D98">
        <v>4.1665996000000004E-2</v>
      </c>
      <c r="E98">
        <v>-8.2730265999999997E-2</v>
      </c>
    </row>
    <row r="99" spans="1:5" x14ac:dyDescent="0.15">
      <c r="A99" s="2">
        <v>199802</v>
      </c>
      <c r="B99">
        <v>0</v>
      </c>
      <c r="C99">
        <v>7.0400000000000004E-2</v>
      </c>
      <c r="D99">
        <v>6.0498173000000002E-2</v>
      </c>
      <c r="E99">
        <v>0.100475695</v>
      </c>
    </row>
    <row r="100" spans="1:5" x14ac:dyDescent="0.15">
      <c r="A100" s="2">
        <v>199803</v>
      </c>
      <c r="B100">
        <v>0</v>
      </c>
      <c r="C100">
        <v>4.7599999999999996E-2</v>
      </c>
      <c r="D100">
        <v>2.7117604999999999E-2</v>
      </c>
      <c r="E100">
        <v>3.9495965000000001E-2</v>
      </c>
    </row>
    <row r="101" spans="1:5" x14ac:dyDescent="0.15">
      <c r="A101" s="2">
        <v>199804</v>
      </c>
      <c r="B101">
        <v>0</v>
      </c>
      <c r="C101">
        <v>7.2999999999999992E-3</v>
      </c>
      <c r="D101">
        <v>3.8428230000000004E-3</v>
      </c>
      <c r="E101">
        <v>-1.5193366E-2</v>
      </c>
    </row>
    <row r="102" spans="1:5" x14ac:dyDescent="0.15">
      <c r="A102" s="2">
        <v>199805</v>
      </c>
      <c r="B102">
        <v>0</v>
      </c>
      <c r="C102">
        <v>-3.0700000000000002E-2</v>
      </c>
      <c r="D102">
        <v>-8.6266800000000012E-3</v>
      </c>
      <c r="E102">
        <v>-0.141040745</v>
      </c>
    </row>
    <row r="103" spans="1:5" x14ac:dyDescent="0.15">
      <c r="A103" s="2">
        <v>199806</v>
      </c>
      <c r="B103">
        <v>0</v>
      </c>
      <c r="C103">
        <v>3.1800000000000002E-2</v>
      </c>
      <c r="D103">
        <v>3.6928220000000001E-3</v>
      </c>
      <c r="E103">
        <v>-0.108996121</v>
      </c>
    </row>
    <row r="104" spans="1:5" x14ac:dyDescent="0.15">
      <c r="A104" s="2">
        <v>199807</v>
      </c>
      <c r="B104">
        <v>0</v>
      </c>
      <c r="C104">
        <v>-2.46E-2</v>
      </c>
      <c r="D104">
        <v>6.3603689999999994E-3</v>
      </c>
      <c r="E104">
        <v>2.7706355999999998E-2</v>
      </c>
    </row>
    <row r="105" spans="1:5" x14ac:dyDescent="0.15">
      <c r="A105" s="2">
        <v>199808</v>
      </c>
      <c r="B105">
        <v>0</v>
      </c>
      <c r="C105">
        <v>-0.1608</v>
      </c>
      <c r="D105">
        <v>-0.12796864900000002</v>
      </c>
      <c r="E105">
        <v>-0.29343975700000002</v>
      </c>
    </row>
    <row r="106" spans="1:5" x14ac:dyDescent="0.15">
      <c r="A106" s="2">
        <v>199809</v>
      </c>
      <c r="B106">
        <v>0</v>
      </c>
      <c r="C106">
        <v>6.1500000000000006E-2</v>
      </c>
      <c r="D106">
        <v>-3.4996925999999998E-2</v>
      </c>
      <c r="E106">
        <v>5.8834852999999999E-2</v>
      </c>
    </row>
    <row r="107" spans="1:5" x14ac:dyDescent="0.15">
      <c r="A107" s="2">
        <v>199810</v>
      </c>
      <c r="B107">
        <v>0</v>
      </c>
      <c r="C107">
        <v>7.1300000000000002E-2</v>
      </c>
      <c r="D107">
        <v>0.101322014</v>
      </c>
      <c r="E107">
        <v>0.102101807</v>
      </c>
    </row>
    <row r="108" spans="1:5" x14ac:dyDescent="0.15">
      <c r="A108" s="2">
        <v>199811</v>
      </c>
      <c r="B108">
        <v>0</v>
      </c>
      <c r="C108">
        <v>6.0999999999999992E-2</v>
      </c>
      <c r="D108">
        <v>4.8379324000000001E-2</v>
      </c>
      <c r="E108">
        <v>8.0068358999999992E-2</v>
      </c>
    </row>
    <row r="109" spans="1:5" x14ac:dyDescent="0.15">
      <c r="A109" s="2">
        <v>199812</v>
      </c>
      <c r="B109">
        <v>0</v>
      </c>
      <c r="C109">
        <v>6.1600000000000002E-2</v>
      </c>
      <c r="D109">
        <v>3.5891716000000004E-2</v>
      </c>
      <c r="E109">
        <v>-1.8292322E-2</v>
      </c>
    </row>
    <row r="110" spans="1:5" x14ac:dyDescent="0.15">
      <c r="A110" s="2">
        <v>199901</v>
      </c>
      <c r="B110">
        <v>0</v>
      </c>
      <c r="C110">
        <v>3.5000000000000003E-2</v>
      </c>
      <c r="D110">
        <v>-6.226756E-3</v>
      </c>
      <c r="E110">
        <v>-1.9634152999999998E-2</v>
      </c>
    </row>
    <row r="111" spans="1:5" x14ac:dyDescent="0.15">
      <c r="A111" s="2">
        <v>199902</v>
      </c>
      <c r="B111">
        <v>0</v>
      </c>
      <c r="C111">
        <v>-4.0800000000000003E-2</v>
      </c>
      <c r="D111">
        <v>-2.7101275000000001E-2</v>
      </c>
      <c r="E111">
        <v>6.2270629999999997E-3</v>
      </c>
    </row>
    <row r="112" spans="1:5" x14ac:dyDescent="0.15">
      <c r="A112" s="2">
        <v>199903</v>
      </c>
      <c r="B112">
        <v>0</v>
      </c>
      <c r="C112">
        <v>3.4500000000000003E-2</v>
      </c>
      <c r="D112">
        <v>3.7684263000000003E-2</v>
      </c>
      <c r="E112">
        <v>0.12749033900000001</v>
      </c>
    </row>
    <row r="113" spans="1:5" x14ac:dyDescent="0.15">
      <c r="A113" s="2">
        <v>199904</v>
      </c>
      <c r="B113">
        <v>0</v>
      </c>
      <c r="C113">
        <v>4.3299999999999998E-2</v>
      </c>
      <c r="D113">
        <v>3.7048723999999998E-2</v>
      </c>
      <c r="E113">
        <v>0.12002090500000001</v>
      </c>
    </row>
    <row r="114" spans="1:5" x14ac:dyDescent="0.15">
      <c r="A114" s="2">
        <v>199905</v>
      </c>
      <c r="B114">
        <v>0</v>
      </c>
      <c r="C114">
        <v>-2.46E-2</v>
      </c>
      <c r="D114">
        <v>-5.4679678000000002E-2</v>
      </c>
      <c r="E114">
        <v>-9.2174780000000012E-3</v>
      </c>
    </row>
    <row r="115" spans="1:5" x14ac:dyDescent="0.15">
      <c r="A115" s="2">
        <v>199906</v>
      </c>
      <c r="B115">
        <v>0</v>
      </c>
      <c r="C115">
        <v>4.7700000000000006E-2</v>
      </c>
      <c r="D115">
        <v>3.5217737999999998E-2</v>
      </c>
      <c r="E115">
        <v>0.10949179399999999</v>
      </c>
    </row>
    <row r="116" spans="1:5" x14ac:dyDescent="0.15">
      <c r="A116" s="2">
        <v>199907</v>
      </c>
      <c r="B116">
        <v>0</v>
      </c>
      <c r="C116">
        <v>-3.4700000000000002E-2</v>
      </c>
      <c r="D116">
        <v>2.6153579E-2</v>
      </c>
      <c r="E116">
        <v>-3.0965503000000002E-2</v>
      </c>
    </row>
    <row r="117" spans="1:5" x14ac:dyDescent="0.15">
      <c r="A117" s="2">
        <v>199908</v>
      </c>
      <c r="B117">
        <v>0</v>
      </c>
      <c r="C117">
        <v>-1.38E-2</v>
      </c>
      <c r="D117">
        <v>-2.4640000000000252E-5</v>
      </c>
      <c r="E117">
        <v>5.1981479999999997E-3</v>
      </c>
    </row>
    <row r="118" spans="1:5" x14ac:dyDescent="0.15">
      <c r="A118" s="2">
        <v>199909</v>
      </c>
      <c r="B118">
        <v>0</v>
      </c>
      <c r="C118">
        <v>-2.81E-2</v>
      </c>
      <c r="D118">
        <v>6.388576E-3</v>
      </c>
      <c r="E118">
        <v>-3.7742100000000001E-2</v>
      </c>
    </row>
    <row r="119" spans="1:5" x14ac:dyDescent="0.15">
      <c r="A119" s="2">
        <v>199910</v>
      </c>
      <c r="B119">
        <v>0</v>
      </c>
      <c r="C119">
        <v>6.1299999999999993E-2</v>
      </c>
      <c r="D119">
        <v>3.3774472999999999E-2</v>
      </c>
      <c r="E119">
        <v>1.7392680000000001E-2</v>
      </c>
    </row>
    <row r="120" spans="1:5" x14ac:dyDescent="0.15">
      <c r="A120" s="2">
        <v>199911</v>
      </c>
      <c r="B120">
        <v>0</v>
      </c>
      <c r="C120">
        <v>3.3700000000000001E-2</v>
      </c>
      <c r="D120">
        <v>3.1350687000000002E-2</v>
      </c>
      <c r="E120">
        <v>8.606452299999999E-2</v>
      </c>
    </row>
    <row r="121" spans="1:5" x14ac:dyDescent="0.15">
      <c r="A121" s="2">
        <v>199912</v>
      </c>
      <c r="B121">
        <v>0</v>
      </c>
      <c r="C121">
        <v>7.7200000000000005E-2</v>
      </c>
      <c r="D121">
        <v>8.554763E-2</v>
      </c>
      <c r="E121">
        <v>0.12278021900000001</v>
      </c>
    </row>
    <row r="122" spans="1:5" x14ac:dyDescent="0.15">
      <c r="A122" s="2">
        <v>200001</v>
      </c>
      <c r="B122">
        <v>0</v>
      </c>
      <c r="C122">
        <v>-4.7399999999999998E-2</v>
      </c>
      <c r="D122">
        <v>-6.7464488999999989E-2</v>
      </c>
      <c r="E122">
        <v>1.8599610000000003E-3</v>
      </c>
    </row>
    <row r="123" spans="1:5" x14ac:dyDescent="0.15">
      <c r="A123" s="2">
        <v>200002</v>
      </c>
      <c r="B123">
        <v>0</v>
      </c>
      <c r="C123">
        <v>2.4500000000000001E-2</v>
      </c>
      <c r="D123">
        <v>2.2808823999999998E-2</v>
      </c>
      <c r="E123">
        <v>8.907033E-3</v>
      </c>
    </row>
    <row r="124" spans="1:5" x14ac:dyDescent="0.15">
      <c r="A124" s="2">
        <v>200003</v>
      </c>
      <c r="B124">
        <v>0</v>
      </c>
      <c r="C124">
        <v>5.1999999999999998E-2</v>
      </c>
      <c r="D124">
        <v>3.4256944999999997E-2</v>
      </c>
      <c r="E124">
        <v>1.8028100000000002E-4</v>
      </c>
    </row>
    <row r="125" spans="1:5" x14ac:dyDescent="0.15">
      <c r="A125" s="2">
        <v>200004</v>
      </c>
      <c r="B125">
        <v>0</v>
      </c>
      <c r="C125">
        <v>-6.4000000000000001E-2</v>
      </c>
      <c r="D125">
        <v>-5.7043028000000003E-2</v>
      </c>
      <c r="E125">
        <v>-9.9392742000000006E-2</v>
      </c>
    </row>
    <row r="126" spans="1:5" x14ac:dyDescent="0.15">
      <c r="A126" s="2">
        <v>200005</v>
      </c>
      <c r="B126">
        <v>0</v>
      </c>
      <c r="C126">
        <v>-4.4199999999999996E-2</v>
      </c>
      <c r="D126">
        <v>-2.9227280000000001E-2</v>
      </c>
      <c r="E126">
        <v>-4.6341925999999999E-2</v>
      </c>
    </row>
    <row r="127" spans="1:5" x14ac:dyDescent="0.15">
      <c r="A127" s="2">
        <v>200006</v>
      </c>
      <c r="B127">
        <v>0</v>
      </c>
      <c r="C127">
        <v>4.6399999999999997E-2</v>
      </c>
      <c r="D127">
        <v>3.5342102E-2</v>
      </c>
      <c r="E127">
        <v>3.1224908999999999E-2</v>
      </c>
    </row>
    <row r="128" spans="1:5" x14ac:dyDescent="0.15">
      <c r="A128" s="2">
        <v>200007</v>
      </c>
      <c r="B128">
        <v>0</v>
      </c>
      <c r="C128">
        <v>-2.5099999999999997E-2</v>
      </c>
      <c r="D128">
        <v>-4.6529359999999999E-2</v>
      </c>
      <c r="E128">
        <v>-5.6229530999999999E-2</v>
      </c>
    </row>
    <row r="129" spans="1:5" x14ac:dyDescent="0.15">
      <c r="A129" s="2">
        <v>200008</v>
      </c>
      <c r="B129">
        <v>0</v>
      </c>
      <c r="C129">
        <v>7.0300000000000001E-2</v>
      </c>
      <c r="D129">
        <v>3.8847160000000007E-3</v>
      </c>
      <c r="E129">
        <v>-8.3241000000000391E-5</v>
      </c>
    </row>
    <row r="130" spans="1:5" x14ac:dyDescent="0.15">
      <c r="A130" s="2">
        <v>200009</v>
      </c>
      <c r="B130">
        <v>0</v>
      </c>
      <c r="C130">
        <v>-5.4500000000000007E-2</v>
      </c>
      <c r="D130">
        <v>-5.3593766000000001E-2</v>
      </c>
      <c r="E130">
        <v>-9.2415919000000013E-2</v>
      </c>
    </row>
    <row r="131" spans="1:5" x14ac:dyDescent="0.15">
      <c r="A131" s="2">
        <v>200010</v>
      </c>
      <c r="B131">
        <v>0</v>
      </c>
      <c r="C131">
        <v>-2.76E-2</v>
      </c>
      <c r="D131">
        <v>-2.9018665000000003E-2</v>
      </c>
      <c r="E131">
        <v>-7.8102998000000007E-2</v>
      </c>
    </row>
    <row r="132" spans="1:5" x14ac:dyDescent="0.15">
      <c r="A132" s="2">
        <v>200011</v>
      </c>
      <c r="B132">
        <v>0</v>
      </c>
      <c r="C132">
        <v>-0.10720000000000002</v>
      </c>
      <c r="D132">
        <v>-4.2386394000000001E-2</v>
      </c>
      <c r="E132">
        <v>-9.2533845000000003E-2</v>
      </c>
    </row>
    <row r="133" spans="1:5" x14ac:dyDescent="0.15">
      <c r="A133" s="2">
        <v>200012</v>
      </c>
      <c r="B133">
        <v>0</v>
      </c>
      <c r="C133">
        <v>1.1899999999999997E-2</v>
      </c>
      <c r="D133">
        <v>3.0777283999999999E-2</v>
      </c>
      <c r="E133">
        <v>1.9143264E-2</v>
      </c>
    </row>
    <row r="134" spans="1:5" x14ac:dyDescent="0.15">
      <c r="A134" s="2">
        <v>200101</v>
      </c>
      <c r="B134">
        <v>0</v>
      </c>
      <c r="C134">
        <v>3.1300000000000001E-2</v>
      </c>
      <c r="D134">
        <v>-5.8714969999999998E-3</v>
      </c>
      <c r="E134">
        <v>0.13230002400000002</v>
      </c>
    </row>
    <row r="135" spans="1:5" x14ac:dyDescent="0.15">
      <c r="A135" s="2">
        <v>200102</v>
      </c>
      <c r="B135">
        <v>0</v>
      </c>
      <c r="C135">
        <v>-0.10050000000000001</v>
      </c>
      <c r="D135">
        <v>-7.8695038999999994E-2</v>
      </c>
      <c r="E135">
        <v>-8.2101131999999993E-2</v>
      </c>
    </row>
    <row r="136" spans="1:5" x14ac:dyDescent="0.15">
      <c r="A136" s="2">
        <v>200103</v>
      </c>
      <c r="B136">
        <v>0</v>
      </c>
      <c r="C136">
        <v>-7.2599999999999998E-2</v>
      </c>
      <c r="D136">
        <v>-7.0410619999999993E-2</v>
      </c>
      <c r="E136">
        <v>-0.10241948799999999</v>
      </c>
    </row>
    <row r="137" spans="1:5" x14ac:dyDescent="0.15">
      <c r="A137" s="2">
        <v>200104</v>
      </c>
      <c r="B137">
        <v>0</v>
      </c>
      <c r="C137">
        <v>7.9399999999999998E-2</v>
      </c>
      <c r="D137">
        <v>6.6236901000000001E-2</v>
      </c>
      <c r="E137">
        <v>4.5511775999999997E-2</v>
      </c>
    </row>
    <row r="138" spans="1:5" x14ac:dyDescent="0.15">
      <c r="A138" s="2">
        <v>200105</v>
      </c>
      <c r="B138">
        <v>0</v>
      </c>
      <c r="C138">
        <v>7.2000000000000015E-3</v>
      </c>
      <c r="D138">
        <v>-3.7700123000000002E-2</v>
      </c>
      <c r="E138">
        <v>8.7362289999999999E-3</v>
      </c>
    </row>
    <row r="139" spans="1:5" x14ac:dyDescent="0.15">
      <c r="A139" s="2">
        <v>200106</v>
      </c>
      <c r="B139">
        <v>0</v>
      </c>
      <c r="C139">
        <v>-1.9400000000000001E-2</v>
      </c>
      <c r="D139">
        <v>-4.3322628000000002E-2</v>
      </c>
      <c r="E139">
        <v>-2.3326840000000001E-2</v>
      </c>
    </row>
    <row r="140" spans="1:5" x14ac:dyDescent="0.15">
      <c r="A140" s="2">
        <v>200107</v>
      </c>
      <c r="B140">
        <v>0</v>
      </c>
      <c r="C140">
        <v>-2.1299999999999999E-2</v>
      </c>
      <c r="D140">
        <v>-2.1115251999999998E-2</v>
      </c>
      <c r="E140">
        <v>-6.6190543000000004E-2</v>
      </c>
    </row>
    <row r="141" spans="1:5" x14ac:dyDescent="0.15">
      <c r="A141" s="2">
        <v>200108</v>
      </c>
      <c r="B141">
        <v>0</v>
      </c>
      <c r="C141">
        <v>-6.4600000000000005E-2</v>
      </c>
      <c r="D141">
        <v>-2.8224447999999999E-2</v>
      </c>
      <c r="E141">
        <v>-1.2963825E-2</v>
      </c>
    </row>
    <row r="142" spans="1:5" x14ac:dyDescent="0.15">
      <c r="A142" s="2">
        <v>200109</v>
      </c>
      <c r="B142">
        <v>0</v>
      </c>
      <c r="C142">
        <v>-9.2499999999999999E-2</v>
      </c>
      <c r="D142">
        <v>-0.1038612</v>
      </c>
      <c r="E142">
        <v>-0.15757953</v>
      </c>
    </row>
    <row r="143" spans="1:5" x14ac:dyDescent="0.15">
      <c r="A143" s="2">
        <v>200110</v>
      </c>
      <c r="B143">
        <v>0</v>
      </c>
      <c r="C143">
        <v>2.46E-2</v>
      </c>
      <c r="D143">
        <v>2.3370626999999998E-2</v>
      </c>
      <c r="E143">
        <v>5.9858895000000002E-2</v>
      </c>
    </row>
    <row r="144" spans="1:5" x14ac:dyDescent="0.15">
      <c r="A144" s="2">
        <v>200111</v>
      </c>
      <c r="B144">
        <v>0</v>
      </c>
      <c r="C144">
        <v>7.5399999999999995E-2</v>
      </c>
      <c r="D144">
        <v>3.5227464999999999E-2</v>
      </c>
      <c r="E144">
        <v>0.10270336399999999</v>
      </c>
    </row>
    <row r="145" spans="1:5" x14ac:dyDescent="0.15">
      <c r="A145" s="2">
        <v>200112</v>
      </c>
      <c r="B145">
        <v>0</v>
      </c>
      <c r="C145">
        <v>1.61E-2</v>
      </c>
      <c r="D145">
        <v>4.4613329999999996E-3</v>
      </c>
      <c r="E145">
        <v>7.7875228000000005E-2</v>
      </c>
    </row>
    <row r="146" spans="1:5" x14ac:dyDescent="0.15">
      <c r="A146" s="2">
        <v>200201</v>
      </c>
      <c r="B146">
        <v>0</v>
      </c>
      <c r="C146">
        <v>-1.4399999999999998E-2</v>
      </c>
      <c r="D146">
        <v>-5.4458619999999999E-2</v>
      </c>
      <c r="E146">
        <v>3.2487887E-2</v>
      </c>
    </row>
    <row r="147" spans="1:5" x14ac:dyDescent="0.15">
      <c r="A147" s="2">
        <v>200202</v>
      </c>
      <c r="B147">
        <v>0</v>
      </c>
      <c r="C147">
        <v>-2.29E-2</v>
      </c>
      <c r="D147">
        <v>5.7627529999999998E-3</v>
      </c>
      <c r="E147">
        <v>1.5128564999999998E-2</v>
      </c>
    </row>
    <row r="148" spans="1:5" x14ac:dyDescent="0.15">
      <c r="A148" s="2">
        <v>200203</v>
      </c>
      <c r="B148">
        <v>0</v>
      </c>
      <c r="C148">
        <v>4.24E-2</v>
      </c>
      <c r="D148">
        <v>5.3294181999999996E-2</v>
      </c>
      <c r="E148">
        <v>5.8851398999999999E-2</v>
      </c>
    </row>
    <row r="149" spans="1:5" x14ac:dyDescent="0.15">
      <c r="A149" s="2">
        <v>200204</v>
      </c>
      <c r="B149">
        <v>0</v>
      </c>
      <c r="C149">
        <v>-5.1999999999999998E-2</v>
      </c>
      <c r="D149">
        <v>5.7419649999999999E-3</v>
      </c>
      <c r="E149">
        <v>4.9904189999999994E-3</v>
      </c>
    </row>
    <row r="150" spans="1:5" x14ac:dyDescent="0.15">
      <c r="A150" s="2">
        <v>200205</v>
      </c>
      <c r="B150">
        <v>0</v>
      </c>
      <c r="C150">
        <v>-1.3799999999999998E-2</v>
      </c>
      <c r="D150">
        <v>1.2165828E-2</v>
      </c>
      <c r="E150">
        <v>-1.7333039000000001E-2</v>
      </c>
    </row>
    <row r="151" spans="1:5" x14ac:dyDescent="0.15">
      <c r="A151" s="2">
        <v>200206</v>
      </c>
      <c r="B151">
        <v>0</v>
      </c>
      <c r="C151">
        <v>-7.2099999999999997E-2</v>
      </c>
      <c r="D151">
        <v>-4.0733913000000004E-2</v>
      </c>
      <c r="E151">
        <v>-7.6321927999999997E-2</v>
      </c>
    </row>
    <row r="152" spans="1:5" x14ac:dyDescent="0.15">
      <c r="A152" s="2">
        <v>200207</v>
      </c>
      <c r="B152">
        <v>0</v>
      </c>
      <c r="C152">
        <v>-8.1799999999999998E-2</v>
      </c>
      <c r="D152">
        <v>-0.100143757</v>
      </c>
      <c r="E152">
        <v>-7.7556702000000005E-2</v>
      </c>
    </row>
    <row r="153" spans="1:5" x14ac:dyDescent="0.15">
      <c r="A153" s="2">
        <v>200208</v>
      </c>
      <c r="B153">
        <v>0</v>
      </c>
      <c r="C153">
        <v>5.0000000000000001E-3</v>
      </c>
      <c r="D153">
        <v>-3.4330980000000003E-3</v>
      </c>
      <c r="E153">
        <v>1.4008754999999999E-2</v>
      </c>
    </row>
    <row r="154" spans="1:5" x14ac:dyDescent="0.15">
      <c r="A154" s="2">
        <v>200209</v>
      </c>
      <c r="B154">
        <v>0</v>
      </c>
      <c r="C154">
        <v>-0.10349999999999999</v>
      </c>
      <c r="D154">
        <v>-0.10854535999999999</v>
      </c>
      <c r="E154">
        <v>-0.109291149</v>
      </c>
    </row>
    <row r="155" spans="1:5" x14ac:dyDescent="0.15">
      <c r="A155" s="2">
        <v>200210</v>
      </c>
      <c r="B155">
        <v>0</v>
      </c>
      <c r="C155">
        <v>7.8399999999999997E-2</v>
      </c>
      <c r="D155">
        <v>5.2423034E-2</v>
      </c>
      <c r="E155">
        <v>6.3487763000000003E-2</v>
      </c>
    </row>
    <row r="156" spans="1:5" x14ac:dyDescent="0.15">
      <c r="A156" s="2">
        <v>200211</v>
      </c>
      <c r="B156">
        <v>0</v>
      </c>
      <c r="C156">
        <v>5.96E-2</v>
      </c>
      <c r="D156">
        <v>4.4313257000000002E-2</v>
      </c>
      <c r="E156">
        <v>6.7633510999999993E-2</v>
      </c>
    </row>
    <row r="157" spans="1:5" x14ac:dyDescent="0.15">
      <c r="A157" s="2">
        <v>200212</v>
      </c>
      <c r="B157">
        <v>0</v>
      </c>
      <c r="C157">
        <v>-5.7599999999999991E-2</v>
      </c>
      <c r="D157">
        <v>-3.4649867999999993E-2</v>
      </c>
      <c r="E157">
        <v>-3.4325592999999995E-2</v>
      </c>
    </row>
    <row r="158" spans="1:5" x14ac:dyDescent="0.15">
      <c r="A158" s="2">
        <v>200301</v>
      </c>
      <c r="B158">
        <v>0</v>
      </c>
      <c r="C158">
        <v>-2.5700000000000001E-2</v>
      </c>
      <c r="D158">
        <v>-4.2671591000000002E-2</v>
      </c>
      <c r="E158">
        <v>-5.353895E-3</v>
      </c>
    </row>
    <row r="159" spans="1:5" x14ac:dyDescent="0.15">
      <c r="A159" s="2">
        <v>200302</v>
      </c>
      <c r="B159">
        <v>0</v>
      </c>
      <c r="C159">
        <v>-1.8800000000000001E-2</v>
      </c>
      <c r="D159">
        <v>-2.3759365000000001E-2</v>
      </c>
      <c r="E159">
        <v>-2.7889912000000003E-2</v>
      </c>
    </row>
    <row r="160" spans="1:5" x14ac:dyDescent="0.15">
      <c r="A160" s="2">
        <v>200303</v>
      </c>
      <c r="B160">
        <v>0</v>
      </c>
      <c r="C160">
        <v>1.0900000000000003E-2</v>
      </c>
      <c r="D160">
        <v>-1.9898503000000001E-2</v>
      </c>
      <c r="E160">
        <v>-2.9354659000000002E-2</v>
      </c>
    </row>
    <row r="161" spans="1:5" x14ac:dyDescent="0.15">
      <c r="A161" s="2">
        <v>200304</v>
      </c>
      <c r="B161">
        <v>0</v>
      </c>
      <c r="C161">
        <v>8.2200000000000009E-2</v>
      </c>
      <c r="D161">
        <v>9.8157733999999996E-2</v>
      </c>
      <c r="E161">
        <v>8.8072119000000004E-2</v>
      </c>
    </row>
    <row r="162" spans="1:5" x14ac:dyDescent="0.15">
      <c r="A162" s="2">
        <v>200305</v>
      </c>
      <c r="B162">
        <v>0</v>
      </c>
      <c r="C162">
        <v>6.0499999999999998E-2</v>
      </c>
      <c r="D162">
        <v>6.0620361000000005E-2</v>
      </c>
      <c r="E162">
        <v>7.0871367000000005E-2</v>
      </c>
    </row>
    <row r="163" spans="1:5" x14ac:dyDescent="0.15">
      <c r="A163" s="2">
        <v>200306</v>
      </c>
      <c r="B163">
        <v>0</v>
      </c>
      <c r="C163">
        <v>1.4200000000000001E-2</v>
      </c>
      <c r="D163">
        <v>2.3749720999999998E-2</v>
      </c>
      <c r="E163">
        <v>5.5994638999999999E-2</v>
      </c>
    </row>
    <row r="164" spans="1:5" x14ac:dyDescent="0.15">
      <c r="A164" s="2">
        <v>200307</v>
      </c>
      <c r="B164">
        <v>0</v>
      </c>
      <c r="C164">
        <v>2.35E-2</v>
      </c>
      <c r="D164">
        <v>2.3656330999999999E-2</v>
      </c>
      <c r="E164">
        <v>6.1927457999999998E-2</v>
      </c>
    </row>
    <row r="165" spans="1:5" x14ac:dyDescent="0.15">
      <c r="A165" s="2">
        <v>200308</v>
      </c>
      <c r="B165">
        <v>0</v>
      </c>
      <c r="C165">
        <v>2.3399999999999997E-2</v>
      </c>
      <c r="D165">
        <v>2.3623020000000002E-2</v>
      </c>
      <c r="E165">
        <v>6.6419731999999995E-2</v>
      </c>
    </row>
    <row r="166" spans="1:5" x14ac:dyDescent="0.15">
      <c r="A166" s="2">
        <v>200309</v>
      </c>
      <c r="B166">
        <v>0</v>
      </c>
      <c r="C166">
        <v>-1.24E-2</v>
      </c>
      <c r="D166">
        <v>3.0225351000000001E-2</v>
      </c>
      <c r="E166">
        <v>6.5309409999999993E-3</v>
      </c>
    </row>
    <row r="167" spans="1:5" x14ac:dyDescent="0.15">
      <c r="A167" s="2">
        <v>200310</v>
      </c>
      <c r="B167">
        <v>0</v>
      </c>
      <c r="C167">
        <v>6.0800000000000007E-2</v>
      </c>
      <c r="D167">
        <v>6.1692626E-2</v>
      </c>
      <c r="E167">
        <v>8.4397610999999997E-2</v>
      </c>
    </row>
    <row r="168" spans="1:5" x14ac:dyDescent="0.15">
      <c r="A168" s="2">
        <v>200311</v>
      </c>
      <c r="B168">
        <v>0</v>
      </c>
      <c r="C168">
        <v>1.3500000000000002E-2</v>
      </c>
      <c r="D168">
        <v>2.1675171E-2</v>
      </c>
      <c r="E168">
        <v>1.1588738000000001E-2</v>
      </c>
    </row>
    <row r="169" spans="1:5" x14ac:dyDescent="0.15">
      <c r="A169" s="2">
        <v>200312</v>
      </c>
      <c r="B169">
        <v>0</v>
      </c>
      <c r="C169">
        <v>4.2900000000000001E-2</v>
      </c>
      <c r="D169">
        <v>7.7369880000000002E-2</v>
      </c>
      <c r="E169">
        <v>7.1696287000000011E-2</v>
      </c>
    </row>
    <row r="170" spans="1:5" x14ac:dyDescent="0.15">
      <c r="A170" s="2">
        <v>200401</v>
      </c>
      <c r="B170">
        <v>0</v>
      </c>
      <c r="C170">
        <v>2.1499999999999998E-2</v>
      </c>
      <c r="D170">
        <v>1.3514862999999998E-2</v>
      </c>
      <c r="E170">
        <v>3.4815013999999998E-2</v>
      </c>
    </row>
    <row r="171" spans="1:5" x14ac:dyDescent="0.15">
      <c r="A171" s="2">
        <v>200402</v>
      </c>
      <c r="B171">
        <v>0</v>
      </c>
      <c r="C171">
        <v>1.4E-2</v>
      </c>
      <c r="D171">
        <v>2.2654654999999999E-2</v>
      </c>
      <c r="E171">
        <v>4.5529928999999997E-2</v>
      </c>
    </row>
    <row r="172" spans="1:5" x14ac:dyDescent="0.15">
      <c r="A172" s="2">
        <v>200403</v>
      </c>
      <c r="B172">
        <v>0</v>
      </c>
      <c r="C172">
        <v>-1.32E-2</v>
      </c>
      <c r="D172">
        <v>5.1188810000000005E-3</v>
      </c>
      <c r="E172">
        <v>1.1949217E-2</v>
      </c>
    </row>
    <row r="173" spans="1:5" x14ac:dyDescent="0.15">
      <c r="A173" s="2">
        <v>200404</v>
      </c>
      <c r="B173">
        <v>0</v>
      </c>
      <c r="C173">
        <v>-1.83E-2</v>
      </c>
      <c r="D173">
        <v>-2.2572775999999999E-2</v>
      </c>
      <c r="E173">
        <v>-8.2557264999999991E-2</v>
      </c>
    </row>
    <row r="174" spans="1:5" x14ac:dyDescent="0.15">
      <c r="A174" s="2">
        <v>200405</v>
      </c>
      <c r="B174">
        <v>0</v>
      </c>
      <c r="C174">
        <v>1.17E-2</v>
      </c>
      <c r="D174">
        <v>3.7303650000000002E-3</v>
      </c>
      <c r="E174">
        <v>-2.0295140999999999E-2</v>
      </c>
    </row>
    <row r="175" spans="1:5" x14ac:dyDescent="0.15">
      <c r="A175" s="2">
        <v>200406</v>
      </c>
      <c r="B175">
        <v>0</v>
      </c>
      <c r="C175">
        <v>1.8600000000000002E-2</v>
      </c>
      <c r="D175">
        <v>2.1516897E-2</v>
      </c>
      <c r="E175">
        <v>3.7678489999999998E-3</v>
      </c>
    </row>
    <row r="176" spans="1:5" x14ac:dyDescent="0.15">
      <c r="A176" s="2">
        <v>200407</v>
      </c>
      <c r="B176">
        <v>0</v>
      </c>
      <c r="C176">
        <v>-4.0599999999999997E-2</v>
      </c>
      <c r="D176">
        <v>-3.3315457999999999E-2</v>
      </c>
      <c r="E176">
        <v>-1.8682232E-2</v>
      </c>
    </row>
    <row r="177" spans="1:5" x14ac:dyDescent="0.15">
      <c r="A177" s="2">
        <v>200408</v>
      </c>
      <c r="B177">
        <v>0</v>
      </c>
      <c r="C177">
        <v>7.9999999999999993E-4</v>
      </c>
      <c r="D177">
        <v>3.542758E-3</v>
      </c>
      <c r="E177">
        <v>4.0760189000000002E-2</v>
      </c>
    </row>
    <row r="178" spans="1:5" x14ac:dyDescent="0.15">
      <c r="A178" s="2">
        <v>200409</v>
      </c>
      <c r="B178">
        <v>0</v>
      </c>
      <c r="C178">
        <v>1.6E-2</v>
      </c>
      <c r="D178">
        <v>2.5182516999999998E-2</v>
      </c>
      <c r="E178">
        <v>5.6656799000000001E-2</v>
      </c>
    </row>
    <row r="179" spans="1:5" x14ac:dyDescent="0.15">
      <c r="A179" s="2">
        <v>200410</v>
      </c>
      <c r="B179">
        <v>0</v>
      </c>
      <c r="C179">
        <v>1.43E-2</v>
      </c>
      <c r="D179">
        <v>3.3060363000000002E-2</v>
      </c>
      <c r="E179">
        <v>2.2856854999999999E-2</v>
      </c>
    </row>
    <row r="180" spans="1:5" x14ac:dyDescent="0.15">
      <c r="A180" s="2">
        <v>200411</v>
      </c>
      <c r="B180">
        <v>0</v>
      </c>
      <c r="C180">
        <v>4.5400000000000003E-2</v>
      </c>
      <c r="D180">
        <v>6.7090014000000003E-2</v>
      </c>
      <c r="E180">
        <v>9.1125259E-2</v>
      </c>
    </row>
    <row r="181" spans="1:5" x14ac:dyDescent="0.15">
      <c r="A181" s="2">
        <v>200412</v>
      </c>
      <c r="B181">
        <v>0</v>
      </c>
      <c r="C181">
        <v>3.4300000000000004E-2</v>
      </c>
      <c r="D181">
        <v>4.2316696000000001E-2</v>
      </c>
      <c r="E181">
        <v>4.6541512E-2</v>
      </c>
    </row>
    <row r="182" spans="1:5" x14ac:dyDescent="0.15">
      <c r="A182" s="2">
        <v>200501</v>
      </c>
      <c r="B182">
        <v>0</v>
      </c>
      <c r="C182">
        <v>-2.7599999999999996E-2</v>
      </c>
      <c r="D182">
        <v>-1.9872837000000001E-2</v>
      </c>
      <c r="E182">
        <v>1.5651109999999999E-3</v>
      </c>
    </row>
    <row r="183" spans="1:5" x14ac:dyDescent="0.15">
      <c r="A183" s="2">
        <v>200502</v>
      </c>
      <c r="B183">
        <v>0</v>
      </c>
      <c r="C183">
        <v>1.8899999999999997E-2</v>
      </c>
      <c r="D183">
        <v>4.1837063000000001E-2</v>
      </c>
      <c r="E183">
        <v>8.6208813999999995E-2</v>
      </c>
    </row>
    <row r="184" spans="1:5" x14ac:dyDescent="0.15">
      <c r="A184" s="2">
        <v>200503</v>
      </c>
      <c r="B184">
        <v>0</v>
      </c>
      <c r="C184">
        <v>-1.9700000000000002E-2</v>
      </c>
      <c r="D184">
        <v>-2.6835018000000002E-2</v>
      </c>
      <c r="E184">
        <v>-6.7980965000000004E-2</v>
      </c>
    </row>
    <row r="185" spans="1:5" x14ac:dyDescent="0.15">
      <c r="A185" s="2">
        <v>200504</v>
      </c>
      <c r="B185">
        <v>0</v>
      </c>
      <c r="C185">
        <v>-2.6100000000000002E-2</v>
      </c>
      <c r="D185">
        <v>-2.4483390000000001E-2</v>
      </c>
      <c r="E185">
        <v>-2.8753235000000002E-2</v>
      </c>
    </row>
    <row r="186" spans="1:5" x14ac:dyDescent="0.15">
      <c r="A186" s="2">
        <v>200505</v>
      </c>
      <c r="B186">
        <v>0</v>
      </c>
      <c r="C186">
        <v>3.6499999999999998E-2</v>
      </c>
      <c r="D186">
        <v>-8.7021699999999974E-4</v>
      </c>
      <c r="E186">
        <v>3.2808387000000001E-2</v>
      </c>
    </row>
    <row r="187" spans="1:5" x14ac:dyDescent="0.15">
      <c r="A187" s="2">
        <v>200506</v>
      </c>
      <c r="B187">
        <v>0</v>
      </c>
      <c r="C187">
        <v>5.7000000000000002E-3</v>
      </c>
      <c r="D187">
        <v>1.136916E-2</v>
      </c>
      <c r="E187">
        <v>3.2219017000000003E-2</v>
      </c>
    </row>
    <row r="188" spans="1:5" x14ac:dyDescent="0.15">
      <c r="A188" s="2">
        <v>200507</v>
      </c>
      <c r="B188">
        <v>0</v>
      </c>
      <c r="C188">
        <v>3.9200000000000006E-2</v>
      </c>
      <c r="D188">
        <v>2.8319113999999999E-2</v>
      </c>
      <c r="E188">
        <v>6.8357955999999997E-2</v>
      </c>
    </row>
    <row r="189" spans="1:5" x14ac:dyDescent="0.15">
      <c r="A189" s="2">
        <v>200508</v>
      </c>
      <c r="B189">
        <v>0</v>
      </c>
      <c r="C189">
        <v>-1.2199999999999999E-2</v>
      </c>
      <c r="D189">
        <v>2.2557412000000002E-2</v>
      </c>
      <c r="E189">
        <v>6.0017870000000006E-3</v>
      </c>
    </row>
    <row r="190" spans="1:5" x14ac:dyDescent="0.15">
      <c r="A190" s="2">
        <v>200509</v>
      </c>
      <c r="B190">
        <v>0</v>
      </c>
      <c r="C190">
        <v>4.9000000000000007E-3</v>
      </c>
      <c r="D190">
        <v>4.1840228E-2</v>
      </c>
      <c r="E190">
        <v>9.0346174000000001E-2</v>
      </c>
    </row>
    <row r="191" spans="1:5" x14ac:dyDescent="0.15">
      <c r="A191" s="2">
        <v>200510</v>
      </c>
      <c r="B191">
        <v>0</v>
      </c>
      <c r="C191">
        <v>-2.0200000000000003E-2</v>
      </c>
      <c r="D191">
        <v>-3.1836589999999998E-2</v>
      </c>
      <c r="E191">
        <v>-6.8035324999999994E-2</v>
      </c>
    </row>
    <row r="192" spans="1:5" x14ac:dyDescent="0.15">
      <c r="A192" s="2">
        <v>200511</v>
      </c>
      <c r="B192">
        <v>0</v>
      </c>
      <c r="C192">
        <v>3.61E-2</v>
      </c>
      <c r="D192">
        <v>2.1627380000000002E-2</v>
      </c>
      <c r="E192">
        <v>7.9697043999999995E-2</v>
      </c>
    </row>
    <row r="193" spans="1:5" x14ac:dyDescent="0.15">
      <c r="A193" s="2">
        <v>200512</v>
      </c>
      <c r="B193">
        <v>0</v>
      </c>
      <c r="C193">
        <v>-2.5000000000000001E-3</v>
      </c>
      <c r="D193">
        <v>4.3397763999999998E-2</v>
      </c>
      <c r="E193">
        <v>5.6037813999999998E-2</v>
      </c>
    </row>
    <row r="194" spans="1:5" x14ac:dyDescent="0.15">
      <c r="A194" s="2">
        <v>200601</v>
      </c>
      <c r="B194">
        <v>0</v>
      </c>
      <c r="C194">
        <v>3.04E-2</v>
      </c>
      <c r="D194">
        <v>5.7968918999999994E-2</v>
      </c>
      <c r="E194">
        <v>0.10880512199999999</v>
      </c>
    </row>
    <row r="195" spans="1:5" x14ac:dyDescent="0.15">
      <c r="A195" s="2">
        <v>200602</v>
      </c>
      <c r="B195">
        <v>0</v>
      </c>
      <c r="C195">
        <v>-3.0000000000000001E-3</v>
      </c>
      <c r="D195">
        <v>-5.4482009999999997E-3</v>
      </c>
      <c r="E195">
        <v>-4.3573919999999999E-3</v>
      </c>
    </row>
    <row r="196" spans="1:5" x14ac:dyDescent="0.15">
      <c r="A196" s="2">
        <v>200603</v>
      </c>
      <c r="B196">
        <v>0</v>
      </c>
      <c r="C196">
        <v>1.46E-2</v>
      </c>
      <c r="D196">
        <v>2.9748772999999999E-2</v>
      </c>
      <c r="E196">
        <v>5.2641530000000006E-3</v>
      </c>
    </row>
    <row r="197" spans="1:5" x14ac:dyDescent="0.15">
      <c r="A197" s="2">
        <v>200604</v>
      </c>
      <c r="B197">
        <v>0</v>
      </c>
      <c r="C197">
        <v>7.2999999999999983E-3</v>
      </c>
      <c r="D197">
        <v>4.4899042E-2</v>
      </c>
      <c r="E197">
        <v>6.776278799999999E-2</v>
      </c>
    </row>
    <row r="198" spans="1:5" x14ac:dyDescent="0.15">
      <c r="A198" s="2">
        <v>200605</v>
      </c>
      <c r="B198">
        <v>0</v>
      </c>
      <c r="C198">
        <v>-3.5699999999999996E-2</v>
      </c>
      <c r="D198">
        <v>-4.1931590999999997E-2</v>
      </c>
      <c r="E198">
        <v>-0.10886421</v>
      </c>
    </row>
    <row r="199" spans="1:5" x14ac:dyDescent="0.15">
      <c r="A199" s="2">
        <v>200606</v>
      </c>
      <c r="B199">
        <v>0</v>
      </c>
      <c r="C199">
        <v>-3.4999999999999996E-3</v>
      </c>
      <c r="D199">
        <v>-3.6333939999999999E-3</v>
      </c>
      <c r="E199">
        <v>-6.1203530000000003E-3</v>
      </c>
    </row>
    <row r="200" spans="1:5" x14ac:dyDescent="0.15">
      <c r="A200" s="2">
        <v>200607</v>
      </c>
      <c r="B200">
        <v>0</v>
      </c>
      <c r="C200">
        <v>-7.7999999999999996E-3</v>
      </c>
      <c r="D200">
        <v>6.0136219999999997E-3</v>
      </c>
      <c r="E200">
        <v>1.0705858E-2</v>
      </c>
    </row>
    <row r="201" spans="1:5" x14ac:dyDescent="0.15">
      <c r="A201" s="2">
        <v>200608</v>
      </c>
      <c r="B201">
        <v>0</v>
      </c>
      <c r="C201">
        <v>2.0299999999999999E-2</v>
      </c>
      <c r="D201">
        <v>2.3568525E-2</v>
      </c>
      <c r="E201">
        <v>2.1778748000000001E-2</v>
      </c>
    </row>
    <row r="202" spans="1:5" x14ac:dyDescent="0.15">
      <c r="A202" s="2">
        <v>200609</v>
      </c>
      <c r="B202">
        <v>0</v>
      </c>
      <c r="C202">
        <v>1.84E-2</v>
      </c>
      <c r="D202">
        <v>-2.3598899999999995E-3</v>
      </c>
      <c r="E202">
        <v>4.3060290000000011E-3</v>
      </c>
    </row>
    <row r="203" spans="1:5" x14ac:dyDescent="0.15">
      <c r="A203" s="2">
        <v>200610</v>
      </c>
      <c r="B203">
        <v>0</v>
      </c>
      <c r="C203">
        <v>3.2300000000000002E-2</v>
      </c>
      <c r="D203">
        <v>3.4883124000000001E-2</v>
      </c>
      <c r="E203">
        <v>4.3450252000000002E-2</v>
      </c>
    </row>
    <row r="204" spans="1:5" x14ac:dyDescent="0.15">
      <c r="A204" s="2">
        <v>200611</v>
      </c>
      <c r="B204">
        <v>0</v>
      </c>
      <c r="C204">
        <v>1.7100000000000001E-2</v>
      </c>
      <c r="D204">
        <v>2.5962569000000001E-2</v>
      </c>
      <c r="E204">
        <v>7.0275295000000002E-2</v>
      </c>
    </row>
    <row r="205" spans="1:5" x14ac:dyDescent="0.15">
      <c r="A205" s="2">
        <v>200612</v>
      </c>
      <c r="B205">
        <v>0</v>
      </c>
      <c r="C205">
        <v>8.7000000000000011E-3</v>
      </c>
      <c r="D205">
        <v>2.7453921000000003E-2</v>
      </c>
      <c r="E205">
        <v>4.1123476000000006E-2</v>
      </c>
    </row>
    <row r="206" spans="1:5" x14ac:dyDescent="0.15">
      <c r="A206" s="2">
        <v>200701</v>
      </c>
      <c r="B206">
        <v>0</v>
      </c>
      <c r="C206">
        <v>1.3999999999999999E-2</v>
      </c>
      <c r="D206">
        <v>2.4434029999999994E-3</v>
      </c>
      <c r="E206">
        <v>-1.4500668000000001E-2</v>
      </c>
    </row>
    <row r="207" spans="1:5" x14ac:dyDescent="0.15">
      <c r="A207" s="2">
        <v>200702</v>
      </c>
      <c r="B207">
        <v>0</v>
      </c>
      <c r="C207">
        <v>-1.9600000000000003E-2</v>
      </c>
      <c r="D207">
        <v>4.4145529999999999E-3</v>
      </c>
      <c r="E207">
        <v>-9.5926759999999996E-3</v>
      </c>
    </row>
    <row r="208" spans="1:5" x14ac:dyDescent="0.15">
      <c r="A208" s="2">
        <v>200703</v>
      </c>
      <c r="B208">
        <v>0</v>
      </c>
      <c r="C208">
        <v>6.8000000000000005E-3</v>
      </c>
      <c r="D208">
        <v>2.1663540000000002E-2</v>
      </c>
      <c r="E208">
        <v>3.5758147000000004E-2</v>
      </c>
    </row>
    <row r="209" spans="1:5" x14ac:dyDescent="0.15">
      <c r="A209" s="2">
        <v>200704</v>
      </c>
      <c r="B209">
        <v>0</v>
      </c>
      <c r="C209">
        <v>3.49E-2</v>
      </c>
      <c r="D209">
        <v>4.0950001999999999E-2</v>
      </c>
      <c r="E209">
        <v>4.3185738000000001E-2</v>
      </c>
    </row>
    <row r="210" spans="1:5" x14ac:dyDescent="0.15">
      <c r="A210" s="2">
        <v>200705</v>
      </c>
      <c r="B210">
        <v>0</v>
      </c>
      <c r="C210">
        <v>3.2400000000000005E-2</v>
      </c>
      <c r="D210">
        <v>1.4749523E-2</v>
      </c>
      <c r="E210">
        <v>4.4738668000000002E-2</v>
      </c>
    </row>
    <row r="211" spans="1:5" x14ac:dyDescent="0.15">
      <c r="A211" s="2">
        <v>200706</v>
      </c>
      <c r="B211">
        <v>0</v>
      </c>
      <c r="C211">
        <v>-1.9599999999999999E-2</v>
      </c>
      <c r="D211">
        <v>-2.4572980000000001E-3</v>
      </c>
      <c r="E211">
        <v>4.3300540999999998E-2</v>
      </c>
    </row>
    <row r="212" spans="1:5" x14ac:dyDescent="0.15">
      <c r="A212" s="2">
        <v>200707</v>
      </c>
      <c r="B212">
        <v>0</v>
      </c>
      <c r="C212">
        <v>-3.73E-2</v>
      </c>
      <c r="D212">
        <v>-1.8620304000000001E-2</v>
      </c>
      <c r="E212">
        <v>4.9281298000000001E-2</v>
      </c>
    </row>
    <row r="213" spans="1:5" x14ac:dyDescent="0.15">
      <c r="A213" s="2">
        <v>200708</v>
      </c>
      <c r="B213">
        <v>0</v>
      </c>
      <c r="C213">
        <v>9.1999999999999998E-3</v>
      </c>
      <c r="D213">
        <v>-1.9588123999999998E-2</v>
      </c>
      <c r="E213">
        <v>-2.5124346999999998E-2</v>
      </c>
    </row>
    <row r="214" spans="1:5" x14ac:dyDescent="0.15">
      <c r="A214" s="2">
        <v>200709</v>
      </c>
      <c r="B214">
        <v>0</v>
      </c>
      <c r="C214">
        <v>3.2199999999999999E-2</v>
      </c>
      <c r="D214">
        <v>5.0490825999999996E-2</v>
      </c>
      <c r="E214">
        <v>0.107319967</v>
      </c>
    </row>
    <row r="215" spans="1:5" x14ac:dyDescent="0.15">
      <c r="A215" s="2">
        <v>200710</v>
      </c>
      <c r="B215">
        <v>0</v>
      </c>
      <c r="C215">
        <v>1.7999999999999999E-2</v>
      </c>
      <c r="D215">
        <v>3.6202822999999995E-2</v>
      </c>
      <c r="E215">
        <v>0.10839839500000001</v>
      </c>
    </row>
    <row r="216" spans="1:5" x14ac:dyDescent="0.15">
      <c r="A216" s="2">
        <v>200711</v>
      </c>
      <c r="B216">
        <v>0</v>
      </c>
      <c r="C216">
        <v>-4.8300000000000003E-2</v>
      </c>
      <c r="D216">
        <v>-3.6024831E-2</v>
      </c>
      <c r="E216">
        <v>-7.4242727999999994E-2</v>
      </c>
    </row>
    <row r="217" spans="1:5" x14ac:dyDescent="0.15">
      <c r="A217" s="2">
        <v>200712</v>
      </c>
      <c r="B217">
        <v>0</v>
      </c>
      <c r="C217">
        <v>-8.6999999999999994E-3</v>
      </c>
      <c r="D217">
        <v>-2.5150071E-2</v>
      </c>
      <c r="E217">
        <v>8.9066199999999996E-4</v>
      </c>
    </row>
    <row r="218" spans="1:5" x14ac:dyDescent="0.15">
      <c r="A218" s="2">
        <v>200801</v>
      </c>
      <c r="B218">
        <v>0</v>
      </c>
      <c r="C218">
        <v>-6.3600000000000004E-2</v>
      </c>
      <c r="D218">
        <v>-9.4380385000000011E-2</v>
      </c>
      <c r="E218">
        <v>-0.12660117700000001</v>
      </c>
    </row>
    <row r="219" spans="1:5" x14ac:dyDescent="0.15">
      <c r="A219" s="2">
        <v>200802</v>
      </c>
      <c r="B219">
        <v>0</v>
      </c>
      <c r="C219">
        <v>-3.09E-2</v>
      </c>
      <c r="D219">
        <v>1.3336839999999999E-2</v>
      </c>
      <c r="E219">
        <v>7.2875832000000001E-2</v>
      </c>
    </row>
    <row r="220" spans="1:5" x14ac:dyDescent="0.15">
      <c r="A220" s="2">
        <v>200803</v>
      </c>
      <c r="B220">
        <v>0</v>
      </c>
      <c r="C220">
        <v>-9.2999999999999992E-3</v>
      </c>
      <c r="D220">
        <v>-1.1741178E-2</v>
      </c>
      <c r="E220">
        <v>-5.4528963999999999E-2</v>
      </c>
    </row>
    <row r="221" spans="1:5" x14ac:dyDescent="0.15">
      <c r="A221" s="2">
        <v>200804</v>
      </c>
      <c r="B221">
        <v>0</v>
      </c>
      <c r="C221">
        <v>4.5999999999999992E-2</v>
      </c>
      <c r="D221">
        <v>5.3762759E-2</v>
      </c>
      <c r="E221">
        <v>7.9515334000000007E-2</v>
      </c>
    </row>
    <row r="222" spans="1:5" x14ac:dyDescent="0.15">
      <c r="A222" s="2">
        <v>200805</v>
      </c>
      <c r="B222">
        <v>0</v>
      </c>
      <c r="C222">
        <v>1.8600000000000002E-2</v>
      </c>
      <c r="D222">
        <v>9.8385629999999998E-3</v>
      </c>
      <c r="E222">
        <v>1.7042347999999999E-2</v>
      </c>
    </row>
    <row r="223" spans="1:5" x14ac:dyDescent="0.15">
      <c r="A223" s="2">
        <v>200806</v>
      </c>
      <c r="B223">
        <v>0</v>
      </c>
      <c r="C223">
        <v>-8.4400000000000003E-2</v>
      </c>
      <c r="D223">
        <v>-8.3283986000000004E-2</v>
      </c>
      <c r="E223">
        <v>-0.10132386199999999</v>
      </c>
    </row>
    <row r="224" spans="1:5" x14ac:dyDescent="0.15">
      <c r="A224" s="2">
        <v>200807</v>
      </c>
      <c r="B224">
        <v>0</v>
      </c>
      <c r="C224">
        <v>-7.7000000000000002E-3</v>
      </c>
      <c r="D224">
        <v>-3.3512791E-2</v>
      </c>
      <c r="E224">
        <v>-3.8429102E-2</v>
      </c>
    </row>
    <row r="225" spans="1:5" x14ac:dyDescent="0.15">
      <c r="A225" s="2">
        <v>200808</v>
      </c>
      <c r="B225">
        <v>0</v>
      </c>
      <c r="C225">
        <v>1.5299999999999999E-2</v>
      </c>
      <c r="D225">
        <v>-4.1561178000000004E-2</v>
      </c>
      <c r="E225">
        <v>-8.0848358999999995E-2</v>
      </c>
    </row>
    <row r="226" spans="1:5" x14ac:dyDescent="0.15">
      <c r="A226" s="2">
        <v>200809</v>
      </c>
      <c r="B226">
        <v>0</v>
      </c>
      <c r="C226">
        <v>-9.2399999999999996E-2</v>
      </c>
      <c r="D226">
        <v>-0.14574379400000001</v>
      </c>
      <c r="E226">
        <v>-0.176395576</v>
      </c>
    </row>
    <row r="227" spans="1:5" x14ac:dyDescent="0.15">
      <c r="A227" s="2">
        <v>200810</v>
      </c>
      <c r="B227">
        <v>0</v>
      </c>
      <c r="C227">
        <v>-0.17230000000000001</v>
      </c>
      <c r="D227">
        <v>-0.20253555200000001</v>
      </c>
      <c r="E227">
        <v>-0.27433252900000005</v>
      </c>
    </row>
    <row r="228" spans="1:5" x14ac:dyDescent="0.15">
      <c r="A228" s="2">
        <v>200811</v>
      </c>
      <c r="B228">
        <v>0</v>
      </c>
      <c r="C228">
        <v>-7.8600000000000003E-2</v>
      </c>
      <c r="D228">
        <v>-5.3882206000000002E-2</v>
      </c>
      <c r="E228">
        <v>-7.5506380999999997E-2</v>
      </c>
    </row>
    <row r="229" spans="1:5" x14ac:dyDescent="0.15">
      <c r="A229" s="2">
        <v>200812</v>
      </c>
      <c r="B229">
        <v>0</v>
      </c>
      <c r="C229">
        <v>1.7399999999999999E-2</v>
      </c>
      <c r="D229">
        <v>6.0231883E-2</v>
      </c>
      <c r="E229">
        <v>7.8269447000000006E-2</v>
      </c>
    </row>
    <row r="230" spans="1:5" x14ac:dyDescent="0.15">
      <c r="A230" s="2">
        <v>200901</v>
      </c>
      <c r="B230">
        <v>0</v>
      </c>
      <c r="C230">
        <v>-8.1199999999999994E-2</v>
      </c>
      <c r="D230">
        <v>-9.7976760999999996E-2</v>
      </c>
      <c r="E230">
        <v>-6.4171765000000006E-2</v>
      </c>
    </row>
    <row r="231" spans="1:5" x14ac:dyDescent="0.15">
      <c r="A231" s="2">
        <v>200902</v>
      </c>
      <c r="B231">
        <v>0</v>
      </c>
      <c r="C231">
        <v>-0.10100000000000001</v>
      </c>
      <c r="D231">
        <v>-0.102371736</v>
      </c>
      <c r="E231">
        <v>-5.6344830000000005E-2</v>
      </c>
    </row>
    <row r="232" spans="1:5" x14ac:dyDescent="0.15">
      <c r="A232" s="2">
        <v>200903</v>
      </c>
      <c r="B232">
        <v>0</v>
      </c>
      <c r="C232">
        <v>8.9499999999999982E-2</v>
      </c>
      <c r="D232">
        <v>6.3674316999999994E-2</v>
      </c>
      <c r="E232">
        <v>0.143646049</v>
      </c>
    </row>
    <row r="233" spans="1:5" x14ac:dyDescent="0.15">
      <c r="A233" s="2">
        <v>200904</v>
      </c>
      <c r="B233">
        <v>0</v>
      </c>
      <c r="C233">
        <v>0.10189999999999999</v>
      </c>
      <c r="D233">
        <v>0.12951654700000001</v>
      </c>
      <c r="E233">
        <v>0.166463208</v>
      </c>
    </row>
    <row r="234" spans="1:5" x14ac:dyDescent="0.15">
      <c r="A234" s="2">
        <v>200905</v>
      </c>
      <c r="B234">
        <v>0</v>
      </c>
      <c r="C234">
        <v>5.21E-2</v>
      </c>
      <c r="D234">
        <v>0.120128735</v>
      </c>
      <c r="E234">
        <v>0.17144974599999999</v>
      </c>
    </row>
    <row r="235" spans="1:5" x14ac:dyDescent="0.15">
      <c r="A235" s="2">
        <v>200906</v>
      </c>
      <c r="B235">
        <v>0</v>
      </c>
      <c r="C235">
        <v>4.3E-3</v>
      </c>
      <c r="D235">
        <v>-5.4951600000000007E-3</v>
      </c>
      <c r="E235">
        <v>-1.3371918E-2</v>
      </c>
    </row>
    <row r="236" spans="1:5" x14ac:dyDescent="0.15">
      <c r="A236" s="2">
        <v>200907</v>
      </c>
      <c r="B236">
        <v>0</v>
      </c>
      <c r="C236">
        <v>7.7199999999999991E-2</v>
      </c>
      <c r="D236">
        <v>9.1325931999999999E-2</v>
      </c>
      <c r="E236">
        <v>0.113062599</v>
      </c>
    </row>
    <row r="237" spans="1:5" x14ac:dyDescent="0.15">
      <c r="A237" s="2">
        <v>200908</v>
      </c>
      <c r="B237">
        <v>0</v>
      </c>
      <c r="C237">
        <v>3.3299999999999996E-2</v>
      </c>
      <c r="D237">
        <v>5.4414627E-2</v>
      </c>
      <c r="E237">
        <v>-3.4111429999999997E-3</v>
      </c>
    </row>
    <row r="238" spans="1:5" x14ac:dyDescent="0.15">
      <c r="A238" s="2">
        <v>200909</v>
      </c>
      <c r="B238">
        <v>0</v>
      </c>
      <c r="C238">
        <v>4.0799999999999996E-2</v>
      </c>
      <c r="D238">
        <v>3.8377659999999994E-2</v>
      </c>
      <c r="E238">
        <v>9.0833739999999996E-2</v>
      </c>
    </row>
    <row r="239" spans="1:5" x14ac:dyDescent="0.15">
      <c r="A239" s="2">
        <v>200910</v>
      </c>
      <c r="B239">
        <v>0</v>
      </c>
      <c r="C239">
        <v>-2.5899999999999999E-2</v>
      </c>
      <c r="D239">
        <v>-1.2449579000000001E-2</v>
      </c>
      <c r="E239">
        <v>1.3293070000000001E-3</v>
      </c>
    </row>
    <row r="240" spans="1:5" x14ac:dyDescent="0.15">
      <c r="A240" s="2">
        <v>200911</v>
      </c>
      <c r="B240">
        <v>0</v>
      </c>
      <c r="C240">
        <v>5.5599999999999997E-2</v>
      </c>
      <c r="D240">
        <v>2.0268432999999999E-2</v>
      </c>
      <c r="E240">
        <v>4.3005961000000002E-2</v>
      </c>
    </row>
    <row r="241" spans="1:5" x14ac:dyDescent="0.15">
      <c r="A241" s="2">
        <v>200912</v>
      </c>
      <c r="B241">
        <v>0</v>
      </c>
      <c r="C241">
        <v>2.75E-2</v>
      </c>
      <c r="D241">
        <v>1.4432445E-2</v>
      </c>
      <c r="E241">
        <v>3.9514360999999998E-2</v>
      </c>
    </row>
    <row r="242" spans="1:5" x14ac:dyDescent="0.15">
      <c r="A242" s="2">
        <v>201001</v>
      </c>
      <c r="B242">
        <v>0</v>
      </c>
      <c r="C242">
        <v>-3.3599999999999998E-2</v>
      </c>
      <c r="D242">
        <v>-4.3994489999999997E-2</v>
      </c>
      <c r="E242">
        <v>-5.5609859999999997E-2</v>
      </c>
    </row>
    <row r="243" spans="1:5" x14ac:dyDescent="0.15">
      <c r="A243" s="2">
        <v>201002</v>
      </c>
      <c r="B243">
        <v>0</v>
      </c>
      <c r="C243">
        <v>3.4000000000000002E-2</v>
      </c>
      <c r="D243">
        <v>-6.757051E-3</v>
      </c>
      <c r="E243">
        <v>3.7294339999999998E-3</v>
      </c>
    </row>
    <row r="244" spans="1:5" x14ac:dyDescent="0.15">
      <c r="A244" s="2">
        <v>201003</v>
      </c>
      <c r="B244">
        <v>0</v>
      </c>
      <c r="C244">
        <v>6.3099999999999989E-2</v>
      </c>
      <c r="D244">
        <v>6.2956314999999999E-2</v>
      </c>
      <c r="E244">
        <v>8.0712121999999997E-2</v>
      </c>
    </row>
    <row r="245" spans="1:5" x14ac:dyDescent="0.15">
      <c r="A245" s="2">
        <v>201004</v>
      </c>
      <c r="B245">
        <v>0</v>
      </c>
      <c r="C245">
        <v>0.02</v>
      </c>
      <c r="D245">
        <v>-1.7367773999999999E-2</v>
      </c>
      <c r="E245">
        <v>1.2238825E-2</v>
      </c>
    </row>
    <row r="246" spans="1:5" x14ac:dyDescent="0.15">
      <c r="A246" s="2">
        <v>201005</v>
      </c>
      <c r="B246">
        <v>0</v>
      </c>
      <c r="C246">
        <v>-7.8899999999999998E-2</v>
      </c>
      <c r="D246">
        <v>-0.113772001</v>
      </c>
      <c r="E246">
        <v>-8.7625540000000002E-2</v>
      </c>
    </row>
    <row r="247" spans="1:5" x14ac:dyDescent="0.15">
      <c r="A247" s="2">
        <v>201006</v>
      </c>
      <c r="B247">
        <v>0</v>
      </c>
      <c r="C247">
        <v>-5.5600000000000004E-2</v>
      </c>
      <c r="D247">
        <v>-9.828303E-3</v>
      </c>
      <c r="E247">
        <v>-7.2726120000000003E-3</v>
      </c>
    </row>
    <row r="248" spans="1:5" x14ac:dyDescent="0.15">
      <c r="A248" s="2">
        <v>201007</v>
      </c>
      <c r="B248">
        <v>0</v>
      </c>
      <c r="C248">
        <v>6.93E-2</v>
      </c>
      <c r="D248">
        <v>9.4824228999999996E-2</v>
      </c>
      <c r="E248">
        <v>8.3883765999999998E-2</v>
      </c>
    </row>
    <row r="249" spans="1:5" x14ac:dyDescent="0.15">
      <c r="A249" s="2">
        <v>201008</v>
      </c>
      <c r="B249">
        <v>0</v>
      </c>
      <c r="C249">
        <v>-4.7699999999999999E-2</v>
      </c>
      <c r="D249">
        <v>-3.1010934E-2</v>
      </c>
      <c r="E249">
        <v>-1.9184330999999999E-2</v>
      </c>
    </row>
    <row r="250" spans="1:5" x14ac:dyDescent="0.15">
      <c r="A250" s="2">
        <v>201009</v>
      </c>
      <c r="B250">
        <v>0</v>
      </c>
      <c r="C250">
        <v>9.5399999999999985E-2</v>
      </c>
      <c r="D250">
        <v>9.8115742999999991E-2</v>
      </c>
      <c r="E250">
        <v>0.111164951</v>
      </c>
    </row>
    <row r="251" spans="1:5" x14ac:dyDescent="0.15">
      <c r="A251" s="2">
        <v>201010</v>
      </c>
      <c r="B251">
        <v>0</v>
      </c>
      <c r="C251">
        <v>3.8799999999999994E-2</v>
      </c>
      <c r="D251">
        <v>3.6079134999999998E-2</v>
      </c>
      <c r="E251">
        <v>2.9023519000000001E-2</v>
      </c>
    </row>
    <row r="252" spans="1:5" x14ac:dyDescent="0.15">
      <c r="A252" s="2">
        <v>201011</v>
      </c>
      <c r="B252">
        <v>0</v>
      </c>
      <c r="C252">
        <v>6.0000000000000001E-3</v>
      </c>
      <c r="D252">
        <v>-4.7990262000000006E-2</v>
      </c>
      <c r="E252">
        <v>-2.6457608000000001E-2</v>
      </c>
    </row>
    <row r="253" spans="1:5" x14ac:dyDescent="0.15">
      <c r="A253" s="2">
        <v>201012</v>
      </c>
      <c r="B253">
        <v>0</v>
      </c>
      <c r="C253">
        <v>6.8199999999999997E-2</v>
      </c>
      <c r="D253">
        <v>8.0963742999999991E-2</v>
      </c>
      <c r="E253">
        <v>7.1377304000000003E-2</v>
      </c>
    </row>
    <row r="254" spans="1:5" x14ac:dyDescent="0.15">
      <c r="A254" s="2">
        <v>201101</v>
      </c>
      <c r="B254">
        <v>0</v>
      </c>
      <c r="C254">
        <v>1.9900000000000001E-2</v>
      </c>
      <c r="D254">
        <v>2.3629560000000001E-2</v>
      </c>
      <c r="E254">
        <v>-2.7040769999999999E-2</v>
      </c>
    </row>
    <row r="255" spans="1:5" x14ac:dyDescent="0.15">
      <c r="A255" s="2">
        <v>201102</v>
      </c>
      <c r="B255">
        <v>0</v>
      </c>
      <c r="C255">
        <v>3.49E-2</v>
      </c>
      <c r="D255">
        <v>3.3102707999999995E-2</v>
      </c>
      <c r="E255">
        <v>-9.2777229999999999E-3</v>
      </c>
    </row>
    <row r="256" spans="1:5" x14ac:dyDescent="0.15">
      <c r="A256" s="2">
        <v>201103</v>
      </c>
      <c r="B256">
        <v>0</v>
      </c>
      <c r="C256">
        <v>4.4999999999999997E-3</v>
      </c>
      <c r="D256">
        <v>-2.2059190999999999E-2</v>
      </c>
      <c r="E256">
        <v>5.8852030999999999E-2</v>
      </c>
    </row>
    <row r="257" spans="1:5" x14ac:dyDescent="0.15">
      <c r="A257" s="2">
        <v>201104</v>
      </c>
      <c r="B257">
        <v>0</v>
      </c>
      <c r="C257">
        <v>2.8999999999999998E-2</v>
      </c>
      <c r="D257">
        <v>6.0763434999999998E-2</v>
      </c>
      <c r="E257">
        <v>3.1237249000000002E-2</v>
      </c>
    </row>
    <row r="258" spans="1:5" x14ac:dyDescent="0.15">
      <c r="A258" s="2">
        <v>201105</v>
      </c>
      <c r="B258">
        <v>0</v>
      </c>
      <c r="C258">
        <v>-1.2700000000000001E-2</v>
      </c>
      <c r="D258">
        <v>-2.8062955000000001E-2</v>
      </c>
      <c r="E258">
        <v>-2.5831883E-2</v>
      </c>
    </row>
    <row r="259" spans="1:5" x14ac:dyDescent="0.15">
      <c r="A259" s="2">
        <v>201106</v>
      </c>
      <c r="B259">
        <v>0</v>
      </c>
      <c r="C259">
        <v>-1.7500000000000002E-2</v>
      </c>
      <c r="D259">
        <v>-1.2275662999999999E-2</v>
      </c>
      <c r="E259">
        <v>-1.4962959E-2</v>
      </c>
    </row>
    <row r="260" spans="1:5" x14ac:dyDescent="0.15">
      <c r="A260" s="2">
        <v>201107</v>
      </c>
      <c r="B260">
        <v>0</v>
      </c>
      <c r="C260">
        <v>-2.3599999999999999E-2</v>
      </c>
      <c r="D260">
        <v>-1.5728507999999999E-2</v>
      </c>
      <c r="E260">
        <v>-3.7608419999999999E-3</v>
      </c>
    </row>
    <row r="261" spans="1:5" x14ac:dyDescent="0.15">
      <c r="A261" s="2">
        <v>201108</v>
      </c>
      <c r="B261">
        <v>0</v>
      </c>
      <c r="C261">
        <v>-5.9900000000000009E-2</v>
      </c>
      <c r="D261">
        <v>-9.0276795000000007E-2</v>
      </c>
      <c r="E261">
        <v>-8.9097458000000004E-2</v>
      </c>
    </row>
    <row r="262" spans="1:5" x14ac:dyDescent="0.15">
      <c r="A262" s="2">
        <v>201109</v>
      </c>
      <c r="B262">
        <v>0</v>
      </c>
      <c r="C262">
        <v>-7.5899999999999995E-2</v>
      </c>
      <c r="D262">
        <v>-9.4966814999999996E-2</v>
      </c>
      <c r="E262">
        <v>-0.14562586599999999</v>
      </c>
    </row>
    <row r="263" spans="1:5" x14ac:dyDescent="0.15">
      <c r="A263" s="2">
        <v>201110</v>
      </c>
      <c r="B263">
        <v>0</v>
      </c>
      <c r="C263">
        <v>0.1135</v>
      </c>
      <c r="D263">
        <v>9.6472844000000002E-2</v>
      </c>
      <c r="E263">
        <v>0.132556321</v>
      </c>
    </row>
    <row r="264" spans="1:5" x14ac:dyDescent="0.15">
      <c r="A264" s="2">
        <v>201111</v>
      </c>
      <c r="B264">
        <v>0</v>
      </c>
      <c r="C264">
        <v>-2.8000000000000004E-3</v>
      </c>
      <c r="D264">
        <v>-4.8250358E-2</v>
      </c>
      <c r="E264">
        <v>-6.6592222000000006E-2</v>
      </c>
    </row>
    <row r="265" spans="1:5" x14ac:dyDescent="0.15">
      <c r="A265" s="2">
        <v>201112</v>
      </c>
      <c r="B265">
        <v>0</v>
      </c>
      <c r="C265">
        <v>7.4000000000000003E-3</v>
      </c>
      <c r="D265">
        <v>-9.3530000000000002E-3</v>
      </c>
      <c r="E265">
        <v>-1.1956885E-2</v>
      </c>
    </row>
    <row r="266" spans="1:5" x14ac:dyDescent="0.15">
      <c r="A266" s="2">
        <v>201201</v>
      </c>
      <c r="B266">
        <v>0</v>
      </c>
      <c r="C266">
        <v>5.0499999999999996E-2</v>
      </c>
      <c r="D266">
        <v>5.3530788000000003E-2</v>
      </c>
      <c r="E266">
        <v>0.11361998500000001</v>
      </c>
    </row>
    <row r="267" spans="1:5" x14ac:dyDescent="0.15">
      <c r="A267" s="2">
        <v>201202</v>
      </c>
      <c r="B267">
        <v>0</v>
      </c>
      <c r="C267">
        <v>4.4200000000000003E-2</v>
      </c>
      <c r="D267">
        <v>5.7686673000000001E-2</v>
      </c>
      <c r="E267">
        <v>6.0084800000000001E-2</v>
      </c>
    </row>
    <row r="268" spans="1:5" x14ac:dyDescent="0.15">
      <c r="A268" s="2">
        <v>201203</v>
      </c>
      <c r="B268">
        <v>0</v>
      </c>
      <c r="C268">
        <v>3.1099999999999999E-2</v>
      </c>
      <c r="D268">
        <v>-4.0424379999999998E-3</v>
      </c>
      <c r="E268">
        <v>-3.3269056999999998E-2</v>
      </c>
    </row>
    <row r="269" spans="1:5" x14ac:dyDescent="0.15">
      <c r="A269" s="2">
        <v>201204</v>
      </c>
      <c r="B269">
        <v>0</v>
      </c>
      <c r="C269">
        <v>-8.5000000000000006E-3</v>
      </c>
      <c r="D269">
        <v>-1.8419710999999998E-2</v>
      </c>
      <c r="E269">
        <v>-1.1672989999999999E-2</v>
      </c>
    </row>
    <row r="270" spans="1:5" x14ac:dyDescent="0.15">
      <c r="A270" s="2">
        <v>201205</v>
      </c>
      <c r="B270">
        <v>0</v>
      </c>
      <c r="C270">
        <v>-6.1900000000000011E-2</v>
      </c>
      <c r="D270">
        <v>-0.11363190200000001</v>
      </c>
      <c r="E270">
        <v>-0.111725693</v>
      </c>
    </row>
    <row r="271" spans="1:5" x14ac:dyDescent="0.15">
      <c r="A271" s="2">
        <v>201206</v>
      </c>
      <c r="B271">
        <v>0</v>
      </c>
      <c r="C271">
        <v>3.8900000000000004E-2</v>
      </c>
      <c r="D271">
        <v>7.049598E-2</v>
      </c>
      <c r="E271">
        <v>3.9064967999999999E-2</v>
      </c>
    </row>
    <row r="272" spans="1:5" x14ac:dyDescent="0.15">
      <c r="A272" s="2">
        <v>201207</v>
      </c>
      <c r="B272">
        <v>0</v>
      </c>
      <c r="C272">
        <v>7.9000000000000008E-3</v>
      </c>
      <c r="D272">
        <v>1.1462897E-2</v>
      </c>
      <c r="E272">
        <v>2.0226893999999999E-2</v>
      </c>
    </row>
    <row r="273" spans="1:5" x14ac:dyDescent="0.15">
      <c r="A273" s="2">
        <v>201208</v>
      </c>
      <c r="B273">
        <v>0</v>
      </c>
      <c r="C273">
        <v>2.5499999999999998E-2</v>
      </c>
      <c r="D273">
        <v>2.6862601999999999E-2</v>
      </c>
      <c r="E273">
        <v>-2.9901349999999997E-3</v>
      </c>
    </row>
    <row r="274" spans="1:5" x14ac:dyDescent="0.15">
      <c r="A274" s="2">
        <v>201209</v>
      </c>
      <c r="B274">
        <v>0</v>
      </c>
      <c r="C274">
        <v>2.7299999999999998E-2</v>
      </c>
      <c r="D274">
        <v>2.9834197E-2</v>
      </c>
      <c r="E274">
        <v>6.0439727999999998E-2</v>
      </c>
    </row>
    <row r="275" spans="1:5" x14ac:dyDescent="0.15">
      <c r="A275" s="2">
        <v>201210</v>
      </c>
      <c r="B275">
        <v>0</v>
      </c>
      <c r="C275">
        <v>-1.7600000000000001E-2</v>
      </c>
      <c r="D275">
        <v>8.3014209999999998E-3</v>
      </c>
      <c r="E275">
        <v>-6.0636489999999999E-3</v>
      </c>
    </row>
    <row r="276" spans="1:5" x14ac:dyDescent="0.15">
      <c r="A276" s="2">
        <v>201211</v>
      </c>
      <c r="B276">
        <v>0</v>
      </c>
      <c r="C276">
        <v>7.8000000000000005E-3</v>
      </c>
      <c r="D276">
        <v>2.4161225000000001E-2</v>
      </c>
      <c r="E276">
        <v>1.2669551000000001E-2</v>
      </c>
    </row>
    <row r="277" spans="1:5" x14ac:dyDescent="0.15">
      <c r="A277" s="2">
        <v>201212</v>
      </c>
      <c r="B277">
        <v>0</v>
      </c>
      <c r="C277">
        <v>1.18E-2</v>
      </c>
      <c r="D277">
        <v>3.2018037999999999E-2</v>
      </c>
      <c r="E277">
        <v>4.8915471999999995E-2</v>
      </c>
    </row>
    <row r="278" spans="1:5" x14ac:dyDescent="0.15">
      <c r="A278" s="2">
        <v>201301</v>
      </c>
      <c r="B278">
        <v>0</v>
      </c>
      <c r="C278">
        <v>5.5700000000000006E-2</v>
      </c>
      <c r="D278">
        <v>5.2924482000000002E-2</v>
      </c>
      <c r="E278">
        <v>1.3942873999999999E-2</v>
      </c>
    </row>
    <row r="279" spans="1:5" x14ac:dyDescent="0.15">
      <c r="A279" s="2">
        <v>201302</v>
      </c>
      <c r="B279">
        <v>0</v>
      </c>
      <c r="C279">
        <v>1.29E-2</v>
      </c>
      <c r="D279">
        <v>-9.2347079999999995E-3</v>
      </c>
      <c r="E279">
        <v>-1.2419783E-2</v>
      </c>
    </row>
    <row r="280" spans="1:5" x14ac:dyDescent="0.15">
      <c r="A280" s="2">
        <v>201303</v>
      </c>
      <c r="B280">
        <v>0</v>
      </c>
      <c r="C280">
        <v>4.0300000000000002E-2</v>
      </c>
      <c r="D280">
        <v>8.7558489999999996E-3</v>
      </c>
      <c r="E280">
        <v>-1.7006951999999999E-2</v>
      </c>
    </row>
    <row r="281" spans="1:5" x14ac:dyDescent="0.15">
      <c r="A281" s="2">
        <v>201304</v>
      </c>
      <c r="B281">
        <v>0</v>
      </c>
      <c r="C281">
        <v>1.5500000000000002E-2</v>
      </c>
      <c r="D281">
        <v>5.330435E-2</v>
      </c>
      <c r="E281">
        <v>7.9290999999999997E-3</v>
      </c>
    </row>
    <row r="282" spans="1:5" x14ac:dyDescent="0.15">
      <c r="A282" s="2">
        <v>201305</v>
      </c>
      <c r="B282">
        <v>0</v>
      </c>
      <c r="C282">
        <v>2.7999999999999997E-2</v>
      </c>
      <c r="D282">
        <v>-2.3056035999999999E-2</v>
      </c>
      <c r="E282">
        <v>-2.5184897000000001E-2</v>
      </c>
    </row>
    <row r="283" spans="1:5" x14ac:dyDescent="0.15">
      <c r="A283" s="2">
        <v>201306</v>
      </c>
      <c r="B283">
        <v>0</v>
      </c>
      <c r="C283">
        <v>-1.2E-2</v>
      </c>
      <c r="D283">
        <v>-3.5293857999999997E-2</v>
      </c>
      <c r="E283">
        <v>-6.3186143E-2</v>
      </c>
    </row>
    <row r="284" spans="1:5" x14ac:dyDescent="0.15">
      <c r="A284" s="2">
        <v>201307</v>
      </c>
      <c r="B284">
        <v>0</v>
      </c>
      <c r="C284">
        <v>5.6500000000000002E-2</v>
      </c>
      <c r="D284">
        <v>5.2844851999999998E-2</v>
      </c>
      <c r="E284">
        <v>1.0989229E-2</v>
      </c>
    </row>
    <row r="285" spans="1:5" x14ac:dyDescent="0.15">
      <c r="A285" s="2">
        <v>201308</v>
      </c>
      <c r="B285">
        <v>0</v>
      </c>
      <c r="C285">
        <v>-2.7099999999999999E-2</v>
      </c>
      <c r="D285">
        <v>-1.3119927999999999E-2</v>
      </c>
      <c r="E285">
        <v>-1.6781641999999999E-2</v>
      </c>
    </row>
    <row r="286" spans="1:5" x14ac:dyDescent="0.15">
      <c r="A286" s="2">
        <v>201309</v>
      </c>
      <c r="B286">
        <v>0</v>
      </c>
      <c r="C286">
        <v>3.7700000000000004E-2</v>
      </c>
      <c r="D286">
        <v>7.4158496000000004E-2</v>
      </c>
      <c r="E286">
        <v>6.5347730000000007E-2</v>
      </c>
    </row>
    <row r="287" spans="1:5" x14ac:dyDescent="0.15">
      <c r="A287" s="2">
        <v>201310</v>
      </c>
      <c r="B287">
        <v>0</v>
      </c>
      <c r="C287">
        <v>4.1799999999999997E-2</v>
      </c>
      <c r="D287">
        <v>3.3641435999999997E-2</v>
      </c>
      <c r="E287">
        <v>4.8731452000000001E-2</v>
      </c>
    </row>
    <row r="288" spans="1:5" x14ac:dyDescent="0.15">
      <c r="A288" s="2">
        <v>201311</v>
      </c>
      <c r="B288">
        <v>0</v>
      </c>
      <c r="C288">
        <v>3.1200000000000002E-2</v>
      </c>
      <c r="D288">
        <v>7.8278089999999998E-3</v>
      </c>
      <c r="E288">
        <v>-1.4544319E-2</v>
      </c>
    </row>
    <row r="289" spans="1:5" x14ac:dyDescent="0.15">
      <c r="A289" s="2">
        <v>201312</v>
      </c>
      <c r="B289">
        <v>0</v>
      </c>
      <c r="C289">
        <v>2.81E-2</v>
      </c>
      <c r="D289">
        <v>1.5119653E-2</v>
      </c>
      <c r="E289">
        <v>-1.4376564E-2</v>
      </c>
    </row>
    <row r="290" spans="1:5" x14ac:dyDescent="0.15">
      <c r="A290" s="2">
        <v>201401</v>
      </c>
      <c r="B290">
        <v>0</v>
      </c>
      <c r="C290">
        <v>-3.32E-2</v>
      </c>
      <c r="D290">
        <v>-4.0180829000000001E-2</v>
      </c>
      <c r="E290">
        <v>-6.4712936999999998E-2</v>
      </c>
    </row>
    <row r="291" spans="1:5" x14ac:dyDescent="0.15">
      <c r="A291" s="2">
        <v>201402</v>
      </c>
      <c r="B291">
        <v>0</v>
      </c>
      <c r="C291">
        <v>4.6500000000000007E-2</v>
      </c>
      <c r="D291">
        <v>5.585441E-2</v>
      </c>
      <c r="E291">
        <v>3.3336230000000001E-2</v>
      </c>
    </row>
    <row r="292" spans="1:5" x14ac:dyDescent="0.15">
      <c r="A292" s="2">
        <v>201403</v>
      </c>
      <c r="B292">
        <v>0</v>
      </c>
      <c r="C292">
        <v>4.3E-3</v>
      </c>
      <c r="D292">
        <v>-5.6571160000000002E-3</v>
      </c>
      <c r="E292">
        <v>3.0920479000000001E-2</v>
      </c>
    </row>
    <row r="293" spans="1:5" x14ac:dyDescent="0.15">
      <c r="A293" s="2">
        <v>201404</v>
      </c>
      <c r="B293">
        <v>0</v>
      </c>
      <c r="C293">
        <v>-1.9E-3</v>
      </c>
      <c r="D293">
        <v>1.5290414E-2</v>
      </c>
      <c r="E293">
        <v>3.7227760000000001E-3</v>
      </c>
    </row>
    <row r="294" spans="1:5" x14ac:dyDescent="0.15">
      <c r="A294" s="2">
        <v>201405</v>
      </c>
      <c r="B294">
        <v>0</v>
      </c>
      <c r="C294">
        <v>2.06E-2</v>
      </c>
      <c r="D294">
        <v>1.7562459999999998E-2</v>
      </c>
      <c r="E294">
        <v>3.5132458999999998E-2</v>
      </c>
    </row>
    <row r="295" spans="1:5" x14ac:dyDescent="0.15">
      <c r="A295" s="2">
        <v>201406</v>
      </c>
      <c r="B295">
        <v>0</v>
      </c>
      <c r="C295">
        <v>2.6099999999999998E-2</v>
      </c>
      <c r="D295">
        <v>9.9497040000000002E-3</v>
      </c>
      <c r="E295">
        <v>2.7021288000000001E-2</v>
      </c>
    </row>
    <row r="296" spans="1:5" x14ac:dyDescent="0.15">
      <c r="A296" s="2">
        <v>201407</v>
      </c>
      <c r="B296">
        <v>0</v>
      </c>
      <c r="C296">
        <v>-2.0400000000000001E-2</v>
      </c>
      <c r="D296">
        <v>-1.9577265999999999E-2</v>
      </c>
      <c r="E296">
        <v>2.0157324000000001E-2</v>
      </c>
    </row>
    <row r="297" spans="1:5" x14ac:dyDescent="0.15">
      <c r="A297" s="2">
        <v>201408</v>
      </c>
      <c r="B297">
        <v>0</v>
      </c>
      <c r="C297">
        <v>4.24E-2</v>
      </c>
      <c r="D297">
        <v>-1.4518350000000001E-3</v>
      </c>
      <c r="E297">
        <v>2.2935240999999999E-2</v>
      </c>
    </row>
    <row r="298" spans="1:5" x14ac:dyDescent="0.15">
      <c r="A298" s="2">
        <v>201409</v>
      </c>
      <c r="B298">
        <v>0</v>
      </c>
      <c r="C298">
        <v>-1.9699999999999999E-2</v>
      </c>
      <c r="D298">
        <v>-3.8102935999999997E-2</v>
      </c>
      <c r="E298">
        <v>-7.3915336999999998E-2</v>
      </c>
    </row>
    <row r="299" spans="1:5" x14ac:dyDescent="0.15">
      <c r="A299" s="2">
        <v>201410</v>
      </c>
      <c r="B299">
        <v>0</v>
      </c>
      <c r="C299">
        <v>2.52E-2</v>
      </c>
      <c r="D299">
        <v>-1.4487584E-2</v>
      </c>
      <c r="E299">
        <v>1.1906758E-2</v>
      </c>
    </row>
    <row r="300" spans="1:5" x14ac:dyDescent="0.15">
      <c r="A300" s="2">
        <v>201411</v>
      </c>
      <c r="B300">
        <v>0</v>
      </c>
      <c r="C300">
        <v>2.5499999999999998E-2</v>
      </c>
      <c r="D300">
        <v>1.3722224E-2</v>
      </c>
      <c r="E300">
        <v>-1.0517321E-2</v>
      </c>
    </row>
    <row r="301" spans="1:5" x14ac:dyDescent="0.15">
      <c r="A301" s="2">
        <v>201412</v>
      </c>
      <c r="B301">
        <v>0</v>
      </c>
      <c r="C301">
        <v>-5.9999999999999995E-4</v>
      </c>
      <c r="D301">
        <v>-3.4378460999999999E-2</v>
      </c>
      <c r="E301">
        <v>-4.5614591000000003E-2</v>
      </c>
    </row>
    <row r="302" spans="1:5" x14ac:dyDescent="0.15">
      <c r="A302" s="2">
        <v>201501</v>
      </c>
      <c r="B302">
        <v>0</v>
      </c>
      <c r="C302">
        <v>-3.1099999999999999E-2</v>
      </c>
      <c r="D302">
        <v>4.9769619999999997E-3</v>
      </c>
      <c r="E302">
        <v>6.075932E-3</v>
      </c>
    </row>
    <row r="303" spans="1:5" x14ac:dyDescent="0.15">
      <c r="A303" s="2">
        <v>201502</v>
      </c>
      <c r="B303">
        <v>0</v>
      </c>
      <c r="C303">
        <v>6.13E-2</v>
      </c>
      <c r="D303">
        <v>5.9892791000000001E-2</v>
      </c>
      <c r="E303">
        <v>3.1083704E-2</v>
      </c>
    </row>
    <row r="304" spans="1:5" x14ac:dyDescent="0.15">
      <c r="A304" s="2">
        <v>201503</v>
      </c>
      <c r="B304">
        <v>0</v>
      </c>
      <c r="C304">
        <v>-1.1200000000000002E-2</v>
      </c>
      <c r="D304">
        <v>-1.4281406999999999E-2</v>
      </c>
      <c r="E304">
        <v>-1.4020080000000001E-2</v>
      </c>
    </row>
    <row r="305" spans="1:5" x14ac:dyDescent="0.15">
      <c r="A305" s="2">
        <v>201504</v>
      </c>
      <c r="B305">
        <v>0</v>
      </c>
      <c r="C305">
        <v>5.8999999999999999E-3</v>
      </c>
      <c r="D305">
        <v>4.1633732999999999E-2</v>
      </c>
      <c r="E305">
        <v>7.7165926999999995E-2</v>
      </c>
    </row>
    <row r="306" spans="1:5" x14ac:dyDescent="0.15">
      <c r="A306" s="2">
        <v>201505</v>
      </c>
      <c r="B306">
        <v>0</v>
      </c>
      <c r="C306">
        <v>1.3600000000000001E-2</v>
      </c>
      <c r="D306">
        <v>-3.9704959999999996E-3</v>
      </c>
      <c r="E306">
        <v>-3.9852350000000002E-2</v>
      </c>
    </row>
    <row r="307" spans="1:5" x14ac:dyDescent="0.15">
      <c r="A307" s="2">
        <v>201506</v>
      </c>
      <c r="B307">
        <v>0</v>
      </c>
      <c r="C307">
        <v>-1.5300000000000001E-2</v>
      </c>
      <c r="D307">
        <v>-2.8048317E-2</v>
      </c>
      <c r="E307">
        <v>-2.5209731999999999E-2</v>
      </c>
    </row>
    <row r="308" spans="1:5" x14ac:dyDescent="0.15">
      <c r="A308" s="2">
        <v>201507</v>
      </c>
      <c r="B308">
        <v>0</v>
      </c>
      <c r="C308">
        <v>1.54E-2</v>
      </c>
      <c r="D308">
        <v>2.0799999999999999E-2</v>
      </c>
      <c r="E308">
        <v>-6.8704162999999999E-2</v>
      </c>
    </row>
    <row r="309" spans="1:5" x14ac:dyDescent="0.15">
      <c r="A309" s="2">
        <v>201508</v>
      </c>
      <c r="B309">
        <v>0</v>
      </c>
      <c r="C309">
        <v>-6.0400000000000002E-2</v>
      </c>
      <c r="D309">
        <v>-7.3457244000000005E-2</v>
      </c>
      <c r="E309">
        <v>-9.0098804000000005E-2</v>
      </c>
    </row>
    <row r="310" spans="1:5" x14ac:dyDescent="0.15">
      <c r="A310" s="2">
        <v>201509</v>
      </c>
      <c r="B310">
        <v>0</v>
      </c>
      <c r="C310">
        <v>-3.0800000000000001E-2</v>
      </c>
      <c r="D310">
        <v>-5.0415831000000001E-2</v>
      </c>
      <c r="E310">
        <v>-2.9726862999999999E-2</v>
      </c>
    </row>
    <row r="311" spans="1:5" x14ac:dyDescent="0.15">
      <c r="A311" s="2">
        <v>201510</v>
      </c>
      <c r="B311">
        <v>0</v>
      </c>
      <c r="C311">
        <v>7.7499999999999999E-2</v>
      </c>
      <c r="D311">
        <v>7.8230966999999998E-2</v>
      </c>
      <c r="E311">
        <v>7.1401813999999994E-2</v>
      </c>
    </row>
    <row r="312" spans="1:5" x14ac:dyDescent="0.15">
      <c r="A312" s="2">
        <v>201511</v>
      </c>
      <c r="B312">
        <v>0</v>
      </c>
      <c r="C312">
        <v>5.6000000000000008E-3</v>
      </c>
      <c r="D312">
        <v>-1.5438644E-2</v>
      </c>
      <c r="E312">
        <v>-3.8939965E-2</v>
      </c>
    </row>
    <row r="313" spans="1:5" x14ac:dyDescent="0.15">
      <c r="A313" s="2">
        <v>201512</v>
      </c>
      <c r="B313">
        <v>0</v>
      </c>
      <c r="C313">
        <v>-2.1700000000000001E-2</v>
      </c>
      <c r="D313">
        <v>-1.3390108999999999E-2</v>
      </c>
      <c r="E313">
        <v>-2.1825114999999999E-2</v>
      </c>
    </row>
    <row r="314" spans="1:5" x14ac:dyDescent="0.15">
      <c r="A314" s="2">
        <v>201601</v>
      </c>
      <c r="B314">
        <v>0</v>
      </c>
      <c r="C314">
        <v>-5.7700000000000001E-2</v>
      </c>
      <c r="D314">
        <v>-7.2320224000000002E-2</v>
      </c>
      <c r="E314">
        <v>-6.4918179000000006E-2</v>
      </c>
    </row>
    <row r="315" spans="1:5" x14ac:dyDescent="0.15">
      <c r="A315" s="2">
        <v>201602</v>
      </c>
      <c r="B315">
        <v>0</v>
      </c>
      <c r="C315">
        <v>-6.9999999999999999E-4</v>
      </c>
      <c r="D315">
        <v>-1.8172608E-2</v>
      </c>
      <c r="E315">
        <v>-1.7261000000000002E-3</v>
      </c>
    </row>
    <row r="316" spans="1:5" x14ac:dyDescent="0.15">
      <c r="A316" s="2">
        <v>201603</v>
      </c>
      <c r="B316">
        <v>0</v>
      </c>
      <c r="C316">
        <v>6.9599999999999995E-2</v>
      </c>
      <c r="D316">
        <v>6.574026899999999E-2</v>
      </c>
      <c r="E316">
        <v>0.13237605899999999</v>
      </c>
    </row>
    <row r="317" spans="1:5" x14ac:dyDescent="0.15">
      <c r="A317" s="2">
        <v>201604</v>
      </c>
      <c r="B317">
        <v>0</v>
      </c>
      <c r="C317">
        <v>9.2000000000000016E-3</v>
      </c>
      <c r="D317">
        <v>2.9945810999999999E-2</v>
      </c>
      <c r="E317">
        <v>5.5344299999999999E-3</v>
      </c>
    </row>
    <row r="318" spans="1:5" x14ac:dyDescent="0.15">
      <c r="A318" s="2">
        <v>201605</v>
      </c>
      <c r="B318">
        <v>0</v>
      </c>
      <c r="C318">
        <v>1.78E-2</v>
      </c>
      <c r="D318">
        <v>-7.9360549999999992E-3</v>
      </c>
      <c r="E318">
        <v>-3.7204764000000001E-2</v>
      </c>
    </row>
    <row r="319" spans="1:5" x14ac:dyDescent="0.15">
      <c r="A319" s="2">
        <v>201606</v>
      </c>
      <c r="B319">
        <v>0</v>
      </c>
      <c r="C319">
        <v>-5.0000000000000001E-4</v>
      </c>
      <c r="D319">
        <v>-3.3351084999999996E-2</v>
      </c>
      <c r="E319">
        <v>4.0750434000000002E-2</v>
      </c>
    </row>
    <row r="320" spans="1:5" x14ac:dyDescent="0.15">
      <c r="A320" s="2">
        <v>201607</v>
      </c>
      <c r="B320">
        <v>0</v>
      </c>
      <c r="C320">
        <v>3.9500000000000007E-2</v>
      </c>
      <c r="D320">
        <v>5.0561652999999998E-2</v>
      </c>
      <c r="E320">
        <v>5.0698357999999999E-2</v>
      </c>
    </row>
    <row r="321" spans="1:5" x14ac:dyDescent="0.15">
      <c r="A321" s="2">
        <v>201608</v>
      </c>
      <c r="B321">
        <v>0</v>
      </c>
      <c r="C321">
        <v>5.000000000000001E-3</v>
      </c>
      <c r="D321">
        <v>6.3871000000000002E-4</v>
      </c>
      <c r="E321">
        <v>2.4984474E-2</v>
      </c>
    </row>
    <row r="322" spans="1:5" x14ac:dyDescent="0.15">
      <c r="A322" s="2">
        <v>201609</v>
      </c>
      <c r="B322">
        <v>0</v>
      </c>
      <c r="C322">
        <v>2.5000000000000001E-3</v>
      </c>
      <c r="D322">
        <v>1.2536311999999999E-2</v>
      </c>
      <c r="E322">
        <v>1.2955869E-2</v>
      </c>
    </row>
    <row r="323" spans="1:5" x14ac:dyDescent="0.15">
      <c r="A323" s="2">
        <v>201610</v>
      </c>
      <c r="B323">
        <v>0</v>
      </c>
      <c r="C323">
        <v>-2.0199999999999999E-2</v>
      </c>
      <c r="D323">
        <v>-2.0583634999999999E-2</v>
      </c>
      <c r="E323">
        <v>2.2719939999999998E-3</v>
      </c>
    </row>
    <row r="324" spans="1:5" x14ac:dyDescent="0.15">
      <c r="A324" s="2">
        <v>201611</v>
      </c>
      <c r="B324">
        <v>0</v>
      </c>
      <c r="C324">
        <v>4.8599999999999997E-2</v>
      </c>
      <c r="D324">
        <v>-1.9897124999999998E-2</v>
      </c>
      <c r="E324">
        <v>-4.6069814000000001E-2</v>
      </c>
    </row>
    <row r="325" spans="1:5" x14ac:dyDescent="0.15">
      <c r="A325" s="2">
        <v>201612</v>
      </c>
      <c r="B325">
        <v>0</v>
      </c>
      <c r="C325">
        <v>1.8200000000000001E-2</v>
      </c>
      <c r="D325">
        <v>3.4083273999999997E-2</v>
      </c>
      <c r="E325">
        <v>2.5997260000000001E-3</v>
      </c>
    </row>
  </sheetData>
  <phoneticPr fontId="0" type="noConversion"/>
  <pageMargins left="0.75" right="0.75" top="1" bottom="1" header="0.5" footer="0.5"/>
  <pageSetup orientation="portrait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topLeftCell="A11" zoomScaleNormal="100" workbookViewId="0">
      <selection activeCell="G34" sqref="G34"/>
    </sheetView>
  </sheetViews>
  <sheetFormatPr baseColWidth="10" defaultColWidth="11.5" defaultRowHeight="13" x14ac:dyDescent="0.15"/>
  <cols>
    <col min="1" max="1" width="18.1640625" style="7" bestFit="1" customWidth="1"/>
    <col min="2" max="2" width="17" bestFit="1" customWidth="1"/>
    <col min="3" max="3" width="14.33203125" bestFit="1" customWidth="1"/>
    <col min="4" max="4" width="25.5" bestFit="1" customWidth="1"/>
    <col min="5" max="5" width="27.33203125" bestFit="1" customWidth="1"/>
    <col min="6" max="6" width="23.83203125" bestFit="1" customWidth="1"/>
    <col min="7" max="7" width="37" bestFit="1" customWidth="1"/>
    <col min="8" max="8" width="12.5" bestFit="1" customWidth="1"/>
    <col min="9" max="9" width="20.6640625" customWidth="1"/>
    <col min="10" max="10" width="9.83203125" bestFit="1" customWidth="1"/>
    <col min="11" max="11" width="14.33203125" bestFit="1" customWidth="1"/>
    <col min="12" max="12" width="16" bestFit="1" customWidth="1"/>
    <col min="13" max="16" width="17.33203125" customWidth="1"/>
  </cols>
  <sheetData>
    <row r="1" spans="1:16" x14ac:dyDescent="0.15">
      <c r="A1" s="60" t="s">
        <v>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6" s="7" customFormat="1" x14ac:dyDescent="0.15">
      <c r="A2" s="61" t="s">
        <v>6</v>
      </c>
      <c r="B2" s="61"/>
      <c r="C2" s="61"/>
      <c r="D2" s="61"/>
      <c r="G2"/>
      <c r="I2"/>
      <c r="J2" s="61" t="s">
        <v>7</v>
      </c>
      <c r="K2" s="61"/>
      <c r="L2" s="61"/>
    </row>
    <row r="3" spans="1:16" x14ac:dyDescent="0.15">
      <c r="A3" s="8"/>
      <c r="B3" s="8" t="s">
        <v>2</v>
      </c>
      <c r="C3" s="8" t="s">
        <v>8</v>
      </c>
      <c r="D3" s="8" t="s">
        <v>9</v>
      </c>
      <c r="F3" s="22" t="s">
        <v>10</v>
      </c>
      <c r="G3" s="24" t="s">
        <v>11</v>
      </c>
      <c r="J3" s="8" t="s">
        <v>2</v>
      </c>
      <c r="K3" s="8" t="s">
        <v>8</v>
      </c>
      <c r="L3" s="8" t="s">
        <v>9</v>
      </c>
    </row>
    <row r="4" spans="1:16" x14ac:dyDescent="0.15">
      <c r="A4" s="8" t="s">
        <v>2</v>
      </c>
      <c r="B4" s="14">
        <f>_xlfn.COVARIANCE.S('excess return data'!$C$2:$C$325,'excess return data'!C2:C325)</f>
        <v>1.8456618127699442E-3</v>
      </c>
      <c r="C4" s="14">
        <f>_xlfn.COVARIANCE.S('excess return data'!$C$2:$C$325,'excess return data'!D2:D325)</f>
        <v>1.5985993931319771E-3</v>
      </c>
      <c r="D4" s="14">
        <f>_xlfn.COVARIANCE.S('excess return data'!$C$2:$C$325,'excess return data'!E2:E325)</f>
        <v>2.0310012027971343E-3</v>
      </c>
      <c r="E4" s="5"/>
      <c r="F4" s="23">
        <v>0.5</v>
      </c>
      <c r="G4" s="25">
        <f t="array" ref="G4:G6">aversion*MMULT(Covariance,eqweights)</f>
        <v>5.2961123517524288E-3</v>
      </c>
      <c r="I4" s="8" t="s">
        <v>2</v>
      </c>
      <c r="J4" s="15">
        <f t="array" ref="J4:L6">B9*Covariance</f>
        <v>1.8456618127699444E-4</v>
      </c>
      <c r="K4" s="15">
        <v>1.5985993931319771E-4</v>
      </c>
      <c r="L4" s="15">
        <v>2.0310012027971344E-4</v>
      </c>
    </row>
    <row r="5" spans="1:16" x14ac:dyDescent="0.15">
      <c r="A5" s="8" t="s">
        <v>8</v>
      </c>
      <c r="B5" s="14">
        <f>_xlfn.COVARIANCE.S('excess return data'!$D$2:$D$325,'excess return data'!C2:C325)</f>
        <v>1.5985993931319771E-3</v>
      </c>
      <c r="C5" s="14">
        <f>_xlfn.COVARIANCE.S('excess return data'!$D$2:$D$325,'excess return data'!D2:D325)</f>
        <v>2.4380333664495274E-3</v>
      </c>
      <c r="D5" s="14">
        <f>_xlfn.COVARIANCE.S('excess return data'!$D$2:$D$325,'excess return data'!E2:E325)</f>
        <v>2.3930703389340056E-3</v>
      </c>
      <c r="E5" s="5"/>
      <c r="F5" s="23">
        <v>0.4</v>
      </c>
      <c r="G5" s="25">
        <v>6.0414602311176001E-3</v>
      </c>
      <c r="I5" s="8" t="s">
        <v>8</v>
      </c>
      <c r="J5" s="15">
        <v>1.5985993931319771E-4</v>
      </c>
      <c r="K5" s="15">
        <v>2.4380333664495276E-4</v>
      </c>
      <c r="L5" s="15">
        <v>2.3930703389340058E-4</v>
      </c>
    </row>
    <row r="6" spans="1:16" x14ac:dyDescent="0.15">
      <c r="A6" s="8" t="s">
        <v>9</v>
      </c>
      <c r="B6" s="14">
        <f>_xlfn.COVARIANCE.S('excess return data'!$E$2:$E$325,'excess return data'!C$2:C$325)</f>
        <v>2.0310012027971343E-3</v>
      </c>
      <c r="C6" s="14">
        <f>_xlfn.COVARIANCE.S('excess return data'!$E$2:$E$325,'excess return data'!D$2:D$325)</f>
        <v>2.3930703389340056E-3</v>
      </c>
      <c r="D6" s="14">
        <f>_xlfn.COVARIANCE.S('excess return data'!$E$2:$E$325,'excess return data'!E$2:E$325)</f>
        <v>4.3834233362685295E-3</v>
      </c>
      <c r="E6" s="5"/>
      <c r="F6" s="23">
        <v>0.1</v>
      </c>
      <c r="G6" s="25">
        <v>7.2332132117970682E-3</v>
      </c>
      <c r="I6" s="8" t="s">
        <v>9</v>
      </c>
      <c r="J6" s="15">
        <v>2.0310012027971344E-4</v>
      </c>
      <c r="K6" s="15">
        <v>2.3930703389340058E-4</v>
      </c>
      <c r="L6" s="15">
        <v>4.3834233362685296E-4</v>
      </c>
    </row>
    <row r="7" spans="1:16" x14ac:dyDescent="0.15">
      <c r="B7" s="5"/>
      <c r="C7" s="5"/>
      <c r="D7" s="5"/>
      <c r="E7" s="5"/>
      <c r="F7" s="6" t="s">
        <v>12</v>
      </c>
      <c r="G7" s="6" t="s">
        <v>13</v>
      </c>
    </row>
    <row r="8" spans="1:16" x14ac:dyDescent="0.15">
      <c r="A8" s="33" t="s">
        <v>14</v>
      </c>
      <c r="B8" s="32">
        <v>3</v>
      </c>
      <c r="C8" s="5"/>
      <c r="D8" s="31" t="s">
        <v>15</v>
      </c>
      <c r="E8" s="32">
        <f>aversion*MktVar</f>
        <v>5.7879615895029624E-3</v>
      </c>
      <c r="F8" s="6" t="s">
        <v>16</v>
      </c>
      <c r="J8" s="3">
        <f t="array" ref="J8">MMULT(TRANSPOSE(eqweights),prior)</f>
        <v>5.7879615895029615E-3</v>
      </c>
    </row>
    <row r="9" spans="1:16" x14ac:dyDescent="0.15">
      <c r="A9" s="33" t="s">
        <v>17</v>
      </c>
      <c r="B9" s="32">
        <v>0.1</v>
      </c>
      <c r="C9" s="5"/>
      <c r="D9" s="31" t="s">
        <v>18</v>
      </c>
      <c r="E9" s="32">
        <f t="array" ref="E9">SQRT(MMULT(MMULT(TRANSPOSE(eqweights),Covariance),eqweights))</f>
        <v>4.3924031347706699E-2</v>
      </c>
      <c r="F9" s="34" t="s">
        <v>19</v>
      </c>
      <c r="G9" s="13"/>
    </row>
    <row r="10" spans="1:16" x14ac:dyDescent="0.15">
      <c r="A10" s="33" t="s">
        <v>20</v>
      </c>
      <c r="B10" s="32" cm="1">
        <f t="array" ref="B10">MMULT(TRANSPOSE(eqweights),MMULT(Covariance,eqweights))</f>
        <v>1.9293205298343207E-3</v>
      </c>
      <c r="C10" s="5"/>
      <c r="D10" s="31" t="s">
        <v>21</v>
      </c>
      <c r="E10" s="32">
        <f>E8/E9</f>
        <v>0.1317720940431201</v>
      </c>
      <c r="F10" s="1"/>
    </row>
    <row r="11" spans="1:16" x14ac:dyDescent="0.15">
      <c r="A11" s="60" t="s">
        <v>22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</row>
    <row r="12" spans="1:16" x14ac:dyDescent="0.15">
      <c r="N12" s="61" t="s">
        <v>23</v>
      </c>
      <c r="O12" s="61"/>
    </row>
    <row r="13" spans="1:16" x14ac:dyDescent="0.15">
      <c r="A13" s="12" t="s">
        <v>24</v>
      </c>
      <c r="B13" s="12" t="s">
        <v>2</v>
      </c>
      <c r="C13" s="12" t="s">
        <v>8</v>
      </c>
      <c r="D13" s="12" t="s">
        <v>9</v>
      </c>
      <c r="F13" s="11" t="s">
        <v>25</v>
      </c>
      <c r="H13" s="63" t="s">
        <v>26</v>
      </c>
      <c r="I13" s="63"/>
      <c r="K13" s="63" t="s">
        <v>27</v>
      </c>
      <c r="L13" s="63"/>
      <c r="N13" s="63" t="s">
        <v>28</v>
      </c>
      <c r="O13" s="63"/>
      <c r="P13" s="7"/>
    </row>
    <row r="14" spans="1:16" x14ac:dyDescent="0.15">
      <c r="A14" s="12" t="s">
        <v>29</v>
      </c>
      <c r="B14" s="16">
        <v>1</v>
      </c>
      <c r="C14" s="16">
        <v>-1</v>
      </c>
      <c r="D14" s="16">
        <v>0</v>
      </c>
      <c r="F14" s="17">
        <v>0.02</v>
      </c>
      <c r="H14" s="18">
        <f t="array" ref="H14:I15">tau_omega*MMULT(ViewP,MMULT(Covariance,TRANSPOSE(ViewP)))</f>
        <v>1.0864963929555175E-4</v>
      </c>
      <c r="I14" s="18">
        <v>-3.6206913613687137E-5</v>
      </c>
      <c r="K14" s="19">
        <f>H14</f>
        <v>1.0864963929555175E-4</v>
      </c>
      <c r="L14" s="20">
        <v>0</v>
      </c>
      <c r="M14" s="1"/>
      <c r="N14" s="19">
        <f t="array" ref="N14:O15">MMULT(ViewP,MMULT(tau*Covariance,TRANSPOSE(ViewP)))</f>
        <v>1.0864963929555177E-4</v>
      </c>
      <c r="O14" s="19">
        <v>-3.6206913613687143E-5</v>
      </c>
    </row>
    <row r="15" spans="1:16" x14ac:dyDescent="0.15">
      <c r="A15" s="12" t="s">
        <v>30</v>
      </c>
      <c r="B15" s="16">
        <v>0</v>
      </c>
      <c r="C15" s="16">
        <v>0</v>
      </c>
      <c r="D15" s="16">
        <v>1</v>
      </c>
      <c r="F15" s="17">
        <v>1.4999999999999999E-2</v>
      </c>
      <c r="H15" s="18">
        <v>-3.6206913613687137E-5</v>
      </c>
      <c r="I15" s="18">
        <v>4.3834233362685296E-4</v>
      </c>
      <c r="K15" s="20">
        <v>0</v>
      </c>
      <c r="L15" s="19">
        <f>I15</f>
        <v>4.3834233362685296E-4</v>
      </c>
      <c r="M15" s="1"/>
      <c r="N15" s="19">
        <v>-3.6206913613687143E-5</v>
      </c>
      <c r="O15" s="19">
        <v>4.3834233362685296E-4</v>
      </c>
    </row>
    <row r="16" spans="1:16" x14ac:dyDescent="0.15">
      <c r="G16" t="s">
        <v>31</v>
      </c>
      <c r="H16">
        <f>tau/H17</f>
        <v>0.1</v>
      </c>
    </row>
    <row r="17" spans="1:15" x14ac:dyDescent="0.15">
      <c r="G17" t="s">
        <v>32</v>
      </c>
      <c r="H17">
        <v>1</v>
      </c>
      <c r="I17" t="s">
        <v>33</v>
      </c>
    </row>
    <row r="18" spans="1:15" x14ac:dyDescent="0.15">
      <c r="A18" s="60" t="s">
        <v>34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</row>
    <row r="20" spans="1:15" x14ac:dyDescent="0.15">
      <c r="A20" s="8"/>
      <c r="B20" s="8" t="s">
        <v>35</v>
      </c>
      <c r="D20" s="9"/>
      <c r="E20" s="10" t="s">
        <v>36</v>
      </c>
      <c r="F20" s="10"/>
      <c r="G20" s="2"/>
    </row>
    <row r="21" spans="1:15" x14ac:dyDescent="0.15">
      <c r="A21" s="8" t="s">
        <v>2</v>
      </c>
      <c r="B21" s="14">
        <f t="array" ref="B21:B23">prior+MMULT(MMULT(adjcov,MMULT(TRANSPOSE(ViewP),MINVERSE(priorconf+Omega))),ViewQ-MMULT(ViewP,prior))</f>
        <v>1.129372958225382E-2</v>
      </c>
      <c r="D21" s="21">
        <f t="array" ref="D21:F23">Covariance+(adjcov-MMULT(MMULT(MMULT(adjcov,TRANSPOSE(ViewP)),MINVERSE(priorconf+Omega)),MMULT(ViewP,adjcov)))</f>
        <v>1.9750330507355032E-3</v>
      </c>
      <c r="E21" s="21">
        <v>1.7156175101156379E-3</v>
      </c>
      <c r="F21" s="21">
        <v>2.1325512629369911E-3</v>
      </c>
      <c r="J21">
        <f>G4+(F14-G4)*(H17/(H17+1))</f>
        <v>1.2648056175876214E-2</v>
      </c>
    </row>
    <row r="22" spans="1:15" x14ac:dyDescent="0.15">
      <c r="A22" s="8" t="s">
        <v>8</v>
      </c>
      <c r="B22" s="30">
        <v>1.6664035219364094E-3</v>
      </c>
      <c r="D22" s="21">
        <v>1.7156175101156377E-3</v>
      </c>
      <c r="E22" s="21">
        <v>2.5970231820990658E-3</v>
      </c>
      <c r="F22" s="21">
        <v>2.5127238558807058E-3</v>
      </c>
    </row>
    <row r="23" spans="1:15" x14ac:dyDescent="0.15">
      <c r="A23" s="8" t="s">
        <v>9</v>
      </c>
      <c r="B23" s="14">
        <v>1.1116606605898534E-2</v>
      </c>
      <c r="D23" s="21">
        <v>2.1325512629369911E-3</v>
      </c>
      <c r="E23" s="21">
        <v>2.5127238558807058E-3</v>
      </c>
      <c r="F23" s="21">
        <v>4.6025945030819561E-3</v>
      </c>
    </row>
    <row r="27" spans="1:15" x14ac:dyDescent="0.15">
      <c r="A27" s="60" t="s">
        <v>37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</row>
    <row r="29" spans="1:15" x14ac:dyDescent="0.15">
      <c r="A29" s="26"/>
      <c r="B29" s="29" t="s">
        <v>38</v>
      </c>
      <c r="D29" s="26" t="s">
        <v>39</v>
      </c>
      <c r="E29" s="28">
        <f t="array" ref="E29">MMULT(TRANSPOSE(B21:B23),B30:B32)</f>
        <v>2.9743756913127539E-2</v>
      </c>
      <c r="H29" s="61" t="s">
        <v>40</v>
      </c>
      <c r="I29" s="61"/>
      <c r="J29" s="61"/>
      <c r="K29" s="2" t="s">
        <v>41</v>
      </c>
    </row>
    <row r="30" spans="1:15" x14ac:dyDescent="0.15">
      <c r="A30" s="26" t="s">
        <v>2</v>
      </c>
      <c r="B30" s="27">
        <v>2.4777176691016045</v>
      </c>
      <c r="D30" s="26" t="s">
        <v>42</v>
      </c>
      <c r="E30" s="28">
        <f t="array" ref="E30">MMULT(MMULT(TRANSPOSE(optweights),postdist),optweights)</f>
        <v>6.7018909646624353E-3</v>
      </c>
      <c r="H30" s="3">
        <f t="array" ref="H30:J30">MMULT(TRANSPOSE(postret),MINVERSE(B8*postdist))</f>
        <v>3.6654506526171788</v>
      </c>
      <c r="I30" s="3">
        <v>-2.8472688344353605</v>
      </c>
      <c r="J30" s="3">
        <v>0.66118673699826447</v>
      </c>
      <c r="K30" s="3">
        <f>SUM(H30:J30)</f>
        <v>1.4793685551800828</v>
      </c>
    </row>
    <row r="31" spans="1:15" x14ac:dyDescent="0.15">
      <c r="A31" s="26" t="s">
        <v>8</v>
      </c>
      <c r="B31" s="27">
        <v>-1.9246453666140633</v>
      </c>
      <c r="D31" s="26" t="s">
        <v>18</v>
      </c>
      <c r="E31" s="28">
        <f>SQRT(E30)</f>
        <v>8.1865077808931666E-2</v>
      </c>
      <c r="H31" s="62" t="s">
        <v>43</v>
      </c>
      <c r="I31" s="62"/>
      <c r="J31" s="62"/>
      <c r="K31" s="3"/>
    </row>
    <row r="32" spans="1:15" x14ac:dyDescent="0.15">
      <c r="A32" s="26" t="s">
        <v>9</v>
      </c>
      <c r="B32" s="27">
        <v>0.4469276975124597</v>
      </c>
      <c r="D32" s="26" t="s">
        <v>21</v>
      </c>
      <c r="E32" s="28">
        <f>E29/E31</f>
        <v>0.36332655766293581</v>
      </c>
      <c r="H32" s="3">
        <f>H30/K30</f>
        <v>2.4777129673213754</v>
      </c>
      <c r="I32" s="3">
        <f>I30/K30</f>
        <v>-1.9246514497455733</v>
      </c>
      <c r="J32" s="3">
        <f>J30/K30</f>
        <v>0.44693848242419787</v>
      </c>
      <c r="K32" s="3">
        <f>SUM(H32:J32)</f>
        <v>0.99999999999999989</v>
      </c>
    </row>
    <row r="33" spans="1:5" x14ac:dyDescent="0.15">
      <c r="B33" s="3"/>
      <c r="E33" s="1"/>
    </row>
    <row r="34" spans="1:5" x14ac:dyDescent="0.15">
      <c r="A34" s="7" t="s">
        <v>44</v>
      </c>
      <c r="B34" s="1">
        <f>SUM(optweights)</f>
        <v>1.0000000000000009</v>
      </c>
    </row>
    <row r="35" spans="1:5" x14ac:dyDescent="0.15">
      <c r="B35" s="6"/>
    </row>
  </sheetData>
  <mergeCells count="12">
    <mergeCell ref="A1:O1"/>
    <mergeCell ref="A2:D2"/>
    <mergeCell ref="H13:I13"/>
    <mergeCell ref="K13:L13"/>
    <mergeCell ref="N13:O13"/>
    <mergeCell ref="J2:L2"/>
    <mergeCell ref="A11:O11"/>
    <mergeCell ref="A18:O18"/>
    <mergeCell ref="A27:O27"/>
    <mergeCell ref="H29:J29"/>
    <mergeCell ref="H31:J31"/>
    <mergeCell ref="N12:O12"/>
  </mergeCells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057C-C90C-4EEF-879F-6CEFC88A3253}">
  <dimension ref="A1:I22"/>
  <sheetViews>
    <sheetView workbookViewId="0">
      <selection activeCell="F21" sqref="F21"/>
    </sheetView>
  </sheetViews>
  <sheetFormatPr baseColWidth="10" defaultColWidth="9.1640625" defaultRowHeight="13" x14ac:dyDescent="0.15"/>
  <cols>
    <col min="1" max="1" width="23.83203125" style="35" bestFit="1" customWidth="1"/>
    <col min="2" max="2" width="12.1640625" style="35" bestFit="1" customWidth="1"/>
    <col min="3" max="3" width="6.83203125" style="35" bestFit="1" customWidth="1"/>
    <col min="4" max="4" width="14.5" style="35" bestFit="1" customWidth="1"/>
    <col min="5" max="5" width="23" style="35" bestFit="1" customWidth="1"/>
    <col min="6" max="6" width="8.6640625" style="35" bestFit="1" customWidth="1"/>
    <col min="7" max="8" width="6.83203125" style="35" bestFit="1" customWidth="1"/>
    <col min="9" max="9" width="51.5" style="35" customWidth="1"/>
    <col min="10" max="16384" width="9.1640625" style="35"/>
  </cols>
  <sheetData>
    <row r="1" spans="1:9" x14ac:dyDescent="0.15">
      <c r="F1" s="64" t="s">
        <v>6</v>
      </c>
      <c r="G1" s="64"/>
      <c r="H1" s="64"/>
    </row>
    <row r="2" spans="1:9" x14ac:dyDescent="0.15">
      <c r="A2" s="36" t="s">
        <v>14</v>
      </c>
      <c r="B2" s="49">
        <v>3</v>
      </c>
      <c r="F2" s="36"/>
      <c r="G2" s="43" t="s">
        <v>45</v>
      </c>
      <c r="H2" s="37" t="s">
        <v>46</v>
      </c>
    </row>
    <row r="3" spans="1:9" x14ac:dyDescent="0.15">
      <c r="A3" s="38" t="s">
        <v>47</v>
      </c>
      <c r="B3" s="46">
        <v>0</v>
      </c>
      <c r="C3" s="40" t="s">
        <v>48</v>
      </c>
      <c r="F3" s="38" t="s">
        <v>45</v>
      </c>
      <c r="G3" s="45">
        <f>B6^2</f>
        <v>4.0000000000000008E-2</v>
      </c>
      <c r="H3" s="46">
        <f>B10</f>
        <v>0</v>
      </c>
    </row>
    <row r="4" spans="1:9" x14ac:dyDescent="0.15">
      <c r="A4" s="38" t="s">
        <v>49</v>
      </c>
      <c r="B4" s="46">
        <v>0.3</v>
      </c>
      <c r="C4" s="50">
        <f>B5/B6</f>
        <v>0.25</v>
      </c>
      <c r="D4" s="37" t="s">
        <v>50</v>
      </c>
      <c r="F4" s="41" t="s">
        <v>46</v>
      </c>
      <c r="G4" s="47">
        <f>B10</f>
        <v>0</v>
      </c>
      <c r="H4" s="48">
        <f>B8^2</f>
        <v>0.12249999999999998</v>
      </c>
    </row>
    <row r="5" spans="1:9" x14ac:dyDescent="0.15">
      <c r="A5" s="38" t="s">
        <v>51</v>
      </c>
      <c r="B5" s="46">
        <v>0.05</v>
      </c>
      <c r="C5" s="47">
        <f>B7/B8</f>
        <v>0.28571428571428575</v>
      </c>
      <c r="D5" s="42" t="s">
        <v>52</v>
      </c>
    </row>
    <row r="6" spans="1:9" x14ac:dyDescent="0.15">
      <c r="A6" s="38" t="s">
        <v>53</v>
      </c>
      <c r="B6" s="46">
        <v>0.2</v>
      </c>
    </row>
    <row r="7" spans="1:9" x14ac:dyDescent="0.15">
      <c r="A7" s="38" t="s">
        <v>54</v>
      </c>
      <c r="B7" s="46">
        <v>0.1</v>
      </c>
    </row>
    <row r="8" spans="1:9" x14ac:dyDescent="0.15">
      <c r="A8" s="41" t="s">
        <v>55</v>
      </c>
      <c r="B8" s="48">
        <v>0.35</v>
      </c>
    </row>
    <row r="10" spans="1:9" x14ac:dyDescent="0.15">
      <c r="A10" s="51" t="s">
        <v>56</v>
      </c>
      <c r="B10" s="52">
        <f>B3*B6*B8</f>
        <v>0</v>
      </c>
      <c r="E10" s="51" t="s">
        <v>56</v>
      </c>
      <c r="F10" s="52">
        <f>B4*B6*B8</f>
        <v>2.0999999999999998E-2</v>
      </c>
      <c r="G10" s="40" t="s">
        <v>57</v>
      </c>
    </row>
    <row r="12" spans="1:9" x14ac:dyDescent="0.15">
      <c r="B12" s="44"/>
    </row>
    <row r="13" spans="1:9" ht="75.75" customHeight="1" x14ac:dyDescent="0.15">
      <c r="A13" s="36" t="s">
        <v>58</v>
      </c>
      <c r="B13" s="49">
        <f>(B5/B6^2)/((B5/B6^2)+(B7/B8^2))</f>
        <v>0.60493827160493818</v>
      </c>
      <c r="C13" s="40" t="s">
        <v>59</v>
      </c>
      <c r="E13" s="36" t="s">
        <v>58</v>
      </c>
      <c r="F13" s="49">
        <f>(B8^2*$B$5 - $B$4*B6*B8*$B$7) / ((B8^2*$B$5 - $B$4*B6*B8*$B$7) + (B6^2*$B$7 - $B$4*B6*B8*$B$5))</f>
        <v>0.57706093189964147</v>
      </c>
      <c r="G13" s="40" t="s">
        <v>60</v>
      </c>
      <c r="I13" s="53" t="s">
        <v>61</v>
      </c>
    </row>
    <row r="14" spans="1:9" x14ac:dyDescent="0.15">
      <c r="A14" s="41" t="s">
        <v>62</v>
      </c>
      <c r="B14" s="48">
        <f>1-B13</f>
        <v>0.39506172839506182</v>
      </c>
      <c r="E14" s="41" t="s">
        <v>62</v>
      </c>
      <c r="F14" s="48">
        <f>1-F13</f>
        <v>0.42293906810035853</v>
      </c>
    </row>
    <row r="16" spans="1:9" x14ac:dyDescent="0.15">
      <c r="A16" s="36" t="s">
        <v>63</v>
      </c>
      <c r="B16" s="37">
        <f>B13*B5 + B14*B7</f>
        <v>6.9753086419753099E-2</v>
      </c>
      <c r="E16" s="36" t="s">
        <v>63</v>
      </c>
      <c r="F16" s="37">
        <f>F13*B5 + F14*B7</f>
        <v>7.1146953405017935E-2</v>
      </c>
    </row>
    <row r="17" spans="1:6" x14ac:dyDescent="0.15">
      <c r="A17" s="38" t="s">
        <v>64</v>
      </c>
      <c r="B17" s="39">
        <f>B13^2*B6^2 + B14^2*B8^2 + 2*B13*B14*B10</f>
        <v>3.3757049230300262E-2</v>
      </c>
      <c r="E17" s="38" t="s">
        <v>64</v>
      </c>
      <c r="F17" s="39">
        <f>F13^2*B6^2 + F14^2*B8^2 + 2*F13*F14*F10</f>
        <v>4.5483048778921141E-2</v>
      </c>
    </row>
    <row r="18" spans="1:6" x14ac:dyDescent="0.15">
      <c r="A18" s="38" t="s">
        <v>65</v>
      </c>
      <c r="B18" s="39">
        <f>SQRT(B17)</f>
        <v>0.18373091528183347</v>
      </c>
      <c r="E18" s="38" t="s">
        <v>65</v>
      </c>
      <c r="F18" s="39">
        <f>SQRT(F17)</f>
        <v>0.213267552100457</v>
      </c>
    </row>
    <row r="19" spans="1:6" x14ac:dyDescent="0.15">
      <c r="A19" s="41" t="s">
        <v>66</v>
      </c>
      <c r="B19" s="42">
        <f>B16/B18</f>
        <v>0.37964806474052321</v>
      </c>
      <c r="E19" s="41" t="s">
        <v>66</v>
      </c>
      <c r="F19" s="42">
        <f>F16/F18</f>
        <v>0.33360421078732622</v>
      </c>
    </row>
    <row r="21" spans="1:6" x14ac:dyDescent="0.15">
      <c r="A21" s="36" t="s">
        <v>67</v>
      </c>
      <c r="B21" s="37">
        <f>B16/(B2*B17)</f>
        <v>0.68877551020408168</v>
      </c>
      <c r="C21" s="40" t="s">
        <v>68</v>
      </c>
      <c r="E21" s="36" t="s">
        <v>67</v>
      </c>
      <c r="F21" s="37">
        <f>F16/(B2*F17)</f>
        <v>0.52141735815205204</v>
      </c>
    </row>
    <row r="22" spans="1:6" x14ac:dyDescent="0.15">
      <c r="A22" s="41" t="s">
        <v>69</v>
      </c>
      <c r="B22" s="42">
        <f>1-B21</f>
        <v>0.31122448979591832</v>
      </c>
      <c r="E22" s="41" t="s">
        <v>69</v>
      </c>
      <c r="F22" s="42">
        <f>1-F21</f>
        <v>0.47858264184794796</v>
      </c>
    </row>
  </sheetData>
  <mergeCells count="1"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4B22-38CA-46F0-BFD1-79BD7C93AE1B}">
  <dimension ref="A1:I18"/>
  <sheetViews>
    <sheetView workbookViewId="0">
      <selection activeCell="B4" sqref="B4"/>
    </sheetView>
  </sheetViews>
  <sheetFormatPr baseColWidth="10" defaultColWidth="9.1640625" defaultRowHeight="13" x14ac:dyDescent="0.15"/>
  <cols>
    <col min="1" max="1" width="29" style="35" customWidth="1"/>
    <col min="2" max="3" width="6.5" style="35" bestFit="1" customWidth="1"/>
    <col min="4" max="4" width="15.1640625" style="35" bestFit="1" customWidth="1"/>
    <col min="5" max="5" width="9.1640625" style="35"/>
    <col min="6" max="6" width="11.83203125" style="35" bestFit="1" customWidth="1"/>
    <col min="7" max="7" width="14.6640625" style="35" bestFit="1" customWidth="1"/>
    <col min="8" max="8" width="7.5" style="35" bestFit="1" customWidth="1"/>
    <col min="9" max="9" width="3.1640625" style="35" bestFit="1" customWidth="1"/>
    <col min="10" max="16384" width="9.1640625" style="35"/>
  </cols>
  <sheetData>
    <row r="1" spans="1:9" x14ac:dyDescent="0.15">
      <c r="F1" s="64" t="s">
        <v>70</v>
      </c>
      <c r="G1" s="64"/>
      <c r="H1" s="64"/>
    </row>
    <row r="2" spans="1:9" x14ac:dyDescent="0.15">
      <c r="A2" s="36" t="s">
        <v>71</v>
      </c>
      <c r="B2" s="49">
        <v>0.02</v>
      </c>
      <c r="F2" s="36"/>
      <c r="G2" s="43" t="s">
        <v>39</v>
      </c>
      <c r="H2" s="37" t="s">
        <v>72</v>
      </c>
      <c r="I2" s="40" t="s">
        <v>73</v>
      </c>
    </row>
    <row r="3" spans="1:9" x14ac:dyDescent="0.15">
      <c r="A3" s="38" t="s">
        <v>74</v>
      </c>
      <c r="B3" s="46">
        <v>0.12</v>
      </c>
      <c r="F3" s="57">
        <v>0</v>
      </c>
      <c r="G3" s="45">
        <f>$B$2+$B$3*0</f>
        <v>0.02</v>
      </c>
      <c r="H3" s="46">
        <f>0*$B$4</f>
        <v>0</v>
      </c>
    </row>
    <row r="4" spans="1:9" x14ac:dyDescent="0.15">
      <c r="A4" s="38" t="s">
        <v>75</v>
      </c>
      <c r="B4" s="46">
        <v>0.28000000000000003</v>
      </c>
      <c r="F4" s="57">
        <v>0.5</v>
      </c>
      <c r="G4" s="45">
        <f>$B$2+(0.5)*($B$3-$B$2)</f>
        <v>6.9999999999999993E-2</v>
      </c>
      <c r="H4" s="46">
        <f>0.5*$B$4</f>
        <v>0.14000000000000001</v>
      </c>
    </row>
    <row r="5" spans="1:9" x14ac:dyDescent="0.15">
      <c r="A5" s="38" t="s">
        <v>76</v>
      </c>
      <c r="B5" s="46">
        <v>0.7</v>
      </c>
      <c r="F5" s="57">
        <v>0.7</v>
      </c>
      <c r="G5" s="45">
        <f>B8</f>
        <v>0.09</v>
      </c>
      <c r="H5" s="46">
        <f>B9</f>
        <v>0.19600000000000001</v>
      </c>
    </row>
    <row r="6" spans="1:9" x14ac:dyDescent="0.15">
      <c r="A6" s="41" t="s">
        <v>77</v>
      </c>
      <c r="B6" s="48">
        <f>1-B5</f>
        <v>0.30000000000000004</v>
      </c>
      <c r="F6" s="58">
        <v>1</v>
      </c>
      <c r="G6" s="47">
        <f>$B$2+(1)*($B$3-$B$2)</f>
        <v>0.12</v>
      </c>
      <c r="H6" s="48">
        <f>1*$B$4</f>
        <v>0.28000000000000003</v>
      </c>
    </row>
    <row r="8" spans="1:9" x14ac:dyDescent="0.15">
      <c r="A8" s="36" t="s">
        <v>78</v>
      </c>
      <c r="B8" s="49">
        <f>B5*B3 + B6*B2</f>
        <v>0.09</v>
      </c>
      <c r="C8" s="40" t="s">
        <v>48</v>
      </c>
      <c r="F8" s="51" t="s">
        <v>79</v>
      </c>
      <c r="G8" s="52">
        <f>(B3-B2)/B4</f>
        <v>0.3571428571428571</v>
      </c>
    </row>
    <row r="9" spans="1:9" x14ac:dyDescent="0.15">
      <c r="A9" s="41" t="s">
        <v>80</v>
      </c>
      <c r="B9" s="48">
        <f>B5*B4</f>
        <v>0.19600000000000001</v>
      </c>
    </row>
    <row r="10" spans="1:9" x14ac:dyDescent="0.15">
      <c r="D10" s="40" t="s">
        <v>81</v>
      </c>
    </row>
    <row r="11" spans="1:9" x14ac:dyDescent="0.15">
      <c r="A11" s="36" t="s">
        <v>82</v>
      </c>
      <c r="B11" s="50">
        <v>0.25</v>
      </c>
      <c r="C11" s="54">
        <f>B5*B11</f>
        <v>0.17499999999999999</v>
      </c>
      <c r="D11" s="37" t="s">
        <v>83</v>
      </c>
    </row>
    <row r="12" spans="1:9" x14ac:dyDescent="0.15">
      <c r="A12" s="38" t="s">
        <v>84</v>
      </c>
      <c r="B12" s="45">
        <v>0.32</v>
      </c>
      <c r="C12" s="55">
        <f>B5*B12</f>
        <v>0.22399999999999998</v>
      </c>
      <c r="D12" s="39" t="s">
        <v>85</v>
      </c>
    </row>
    <row r="13" spans="1:9" x14ac:dyDescent="0.15">
      <c r="A13" s="41" t="s">
        <v>86</v>
      </c>
      <c r="B13" s="47">
        <v>0.43</v>
      </c>
      <c r="C13" s="55">
        <f>B5*B13</f>
        <v>0.30099999999999999</v>
      </c>
      <c r="D13" s="39" t="s">
        <v>87</v>
      </c>
    </row>
    <row r="14" spans="1:9" x14ac:dyDescent="0.15">
      <c r="C14" s="55">
        <f>B6</f>
        <v>0.30000000000000004</v>
      </c>
      <c r="D14" s="42" t="s">
        <v>88</v>
      </c>
    </row>
    <row r="15" spans="1:9" x14ac:dyDescent="0.15">
      <c r="C15" s="56">
        <f>SUM(C11:C14)</f>
        <v>1</v>
      </c>
    </row>
    <row r="16" spans="1:9" x14ac:dyDescent="0.15">
      <c r="C16" s="45"/>
    </row>
    <row r="17" spans="1:3" x14ac:dyDescent="0.15">
      <c r="A17" s="36" t="s">
        <v>89</v>
      </c>
      <c r="B17" s="49">
        <f>(B3-B2)/B4</f>
        <v>0.3571428571428571</v>
      </c>
      <c r="C17" s="40" t="s">
        <v>90</v>
      </c>
    </row>
    <row r="18" spans="1:3" x14ac:dyDescent="0.15">
      <c r="A18" s="41" t="s">
        <v>91</v>
      </c>
      <c r="B18" s="48">
        <f>(B8-B2)/B9</f>
        <v>0.3571428571428571</v>
      </c>
    </row>
  </sheetData>
  <mergeCells count="1">
    <mergeCell ref="F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538E-424B-47E7-B3DF-A23B9F6FECE7}">
  <dimension ref="A1:K17"/>
  <sheetViews>
    <sheetView workbookViewId="0">
      <selection activeCell="H17" sqref="H17"/>
    </sheetView>
  </sheetViews>
  <sheetFormatPr baseColWidth="10" defaultColWidth="9.1640625" defaultRowHeight="13" x14ac:dyDescent="0.15"/>
  <cols>
    <col min="1" max="1" width="21.83203125" style="35" bestFit="1" customWidth="1"/>
    <col min="2" max="2" width="14.6640625" style="35" bestFit="1" customWidth="1"/>
    <col min="3" max="3" width="9.83203125" style="35" bestFit="1" customWidth="1"/>
    <col min="4" max="4" width="13" style="35" bestFit="1" customWidth="1"/>
    <col min="5" max="5" width="8.1640625" style="35" bestFit="1" customWidth="1"/>
    <col min="6" max="6" width="14.6640625" style="35" bestFit="1" customWidth="1"/>
    <col min="7" max="7" width="7.5" style="35" bestFit="1" customWidth="1"/>
    <col min="8" max="8" width="36.5" style="35" bestFit="1" customWidth="1"/>
    <col min="9" max="9" width="14" style="35" bestFit="1" customWidth="1"/>
    <col min="10" max="10" width="11.83203125" style="35" bestFit="1" customWidth="1"/>
    <col min="11" max="11" width="9.5" style="35" bestFit="1" customWidth="1"/>
    <col min="12" max="16384" width="9.1640625" style="35"/>
  </cols>
  <sheetData>
    <row r="1" spans="1:11" x14ac:dyDescent="0.15">
      <c r="H1" s="65" t="s">
        <v>92</v>
      </c>
      <c r="I1" s="65"/>
      <c r="J1" s="65"/>
      <c r="K1" s="65"/>
    </row>
    <row r="2" spans="1:11" x14ac:dyDescent="0.15">
      <c r="A2" s="36" t="s">
        <v>93</v>
      </c>
      <c r="B2" s="49">
        <v>0.02</v>
      </c>
      <c r="H2" s="36" t="s">
        <v>94</v>
      </c>
      <c r="I2" s="43" t="s">
        <v>14</v>
      </c>
      <c r="J2" s="43" t="s">
        <v>95</v>
      </c>
      <c r="K2" s="37" t="s">
        <v>96</v>
      </c>
    </row>
    <row r="3" spans="1:11" x14ac:dyDescent="0.15">
      <c r="A3" s="38" t="s">
        <v>97</v>
      </c>
      <c r="B3" s="46">
        <v>2</v>
      </c>
      <c r="H3" s="38">
        <v>1</v>
      </c>
      <c r="I3" s="35">
        <v>2</v>
      </c>
      <c r="J3" s="35" t="str">
        <f>INDEX($A$8:$A$10, MATCH(MAX(B$13:B$15), B$13:B$15, 0))</f>
        <v>H</v>
      </c>
      <c r="K3" s="46">
        <f>MAX(B13:B15)</f>
        <v>0.06</v>
      </c>
    </row>
    <row r="4" spans="1:11" x14ac:dyDescent="0.15">
      <c r="A4" s="38" t="s">
        <v>98</v>
      </c>
      <c r="B4" s="46">
        <v>3.5</v>
      </c>
      <c r="H4" s="38">
        <v>2</v>
      </c>
      <c r="I4" s="35">
        <v>3.5</v>
      </c>
      <c r="J4" s="35" t="str">
        <f>INDEX($A$8:$A$10, MATCH(MAX(C13:C15), C13:C15, 0))</f>
        <v>M</v>
      </c>
      <c r="K4" s="46">
        <f>MAX(C13:C15)</f>
        <v>4.2499999999999996E-2</v>
      </c>
    </row>
    <row r="5" spans="1:11" x14ac:dyDescent="0.15">
      <c r="A5" s="41" t="s">
        <v>99</v>
      </c>
      <c r="B5" s="48">
        <v>5</v>
      </c>
      <c r="H5" s="41">
        <v>3</v>
      </c>
      <c r="I5" s="59">
        <v>5</v>
      </c>
      <c r="J5" s="59" t="str">
        <f>INDEX($A$8:$A$10, MATCH(MAX(D13:D15), D13:D15, 0))</f>
        <v>M</v>
      </c>
      <c r="K5" s="48">
        <f>MAX(D13:D15)</f>
        <v>3.4999999999999989E-2</v>
      </c>
    </row>
    <row r="7" spans="1:11" x14ac:dyDescent="0.15">
      <c r="A7" s="36"/>
      <c r="B7" s="43" t="s">
        <v>39</v>
      </c>
      <c r="C7" s="43" t="s">
        <v>72</v>
      </c>
      <c r="D7" s="43" t="s">
        <v>100</v>
      </c>
      <c r="E7" s="37" t="s">
        <v>42</v>
      </c>
    </row>
    <row r="8" spans="1:11" x14ac:dyDescent="0.15">
      <c r="A8" s="38" t="s">
        <v>101</v>
      </c>
      <c r="B8" s="45">
        <v>0.04</v>
      </c>
      <c r="C8" s="45">
        <v>0.05</v>
      </c>
      <c r="D8" s="45">
        <f>B8-$B$2</f>
        <v>0.02</v>
      </c>
      <c r="E8" s="46">
        <f>C8^2</f>
        <v>2.5000000000000005E-3</v>
      </c>
    </row>
    <row r="9" spans="1:11" x14ac:dyDescent="0.15">
      <c r="A9" s="38" t="s">
        <v>102</v>
      </c>
      <c r="B9" s="45">
        <v>0.06</v>
      </c>
      <c r="C9" s="45">
        <v>0.1</v>
      </c>
      <c r="D9" s="45">
        <f t="shared" ref="D9:D10" si="0">B9-$B$2</f>
        <v>3.9999999999999994E-2</v>
      </c>
      <c r="E9" s="46">
        <f t="shared" ref="E9:E10" si="1">C9^2</f>
        <v>1.0000000000000002E-2</v>
      </c>
    </row>
    <row r="10" spans="1:11" x14ac:dyDescent="0.15">
      <c r="A10" s="41" t="s">
        <v>103</v>
      </c>
      <c r="B10" s="47">
        <v>0.1</v>
      </c>
      <c r="C10" s="47">
        <v>0.2</v>
      </c>
      <c r="D10" s="47">
        <f t="shared" si="0"/>
        <v>0.08</v>
      </c>
      <c r="E10" s="48">
        <f t="shared" si="1"/>
        <v>4.0000000000000008E-2</v>
      </c>
    </row>
    <row r="12" spans="1:11" x14ac:dyDescent="0.15">
      <c r="A12" s="36"/>
      <c r="B12" s="43" t="s">
        <v>104</v>
      </c>
      <c r="C12" s="43" t="s">
        <v>105</v>
      </c>
      <c r="D12" s="37" t="s">
        <v>106</v>
      </c>
    </row>
    <row r="13" spans="1:11" x14ac:dyDescent="0.15">
      <c r="A13" s="38" t="s">
        <v>101</v>
      </c>
      <c r="B13" s="45">
        <f>B8 - 0.5*$B$3*C8^2</f>
        <v>3.7499999999999999E-2</v>
      </c>
      <c r="C13" s="45">
        <f>B8 - 0.5*$B$4*C8^2</f>
        <v>3.5625000000000004E-2</v>
      </c>
      <c r="D13" s="46">
        <f>B8 - 0.5*$B$5*C8^2</f>
        <v>3.3750000000000002E-2</v>
      </c>
    </row>
    <row r="14" spans="1:11" x14ac:dyDescent="0.15">
      <c r="A14" s="38" t="s">
        <v>102</v>
      </c>
      <c r="B14" s="45">
        <f>B9 - 0.5*$B$3*C9^2</f>
        <v>4.9999999999999996E-2</v>
      </c>
      <c r="C14" s="45">
        <f t="shared" ref="C14:C15" si="2">B9 - 0.5*$B$4*C9^2</f>
        <v>4.2499999999999996E-2</v>
      </c>
      <c r="D14" s="46">
        <f t="shared" ref="D14:D15" si="3">B9 - 0.5*$B$5*C9^2</f>
        <v>3.4999999999999989E-2</v>
      </c>
    </row>
    <row r="15" spans="1:11" x14ac:dyDescent="0.15">
      <c r="A15" s="41" t="s">
        <v>103</v>
      </c>
      <c r="B15" s="47">
        <f>B10 - 0.5*$B$3*C10^2</f>
        <v>0.06</v>
      </c>
      <c r="C15" s="47">
        <f t="shared" si="2"/>
        <v>0.03</v>
      </c>
      <c r="D15" s="48">
        <f t="shared" si="3"/>
        <v>0</v>
      </c>
    </row>
    <row r="17" spans="8:8" ht="80.25" customHeight="1" x14ac:dyDescent="0.15">
      <c r="H17" s="53" t="s">
        <v>107</v>
      </c>
    </row>
  </sheetData>
  <mergeCells count="1"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</vt:i4>
      </vt:variant>
    </vt:vector>
  </HeadingPairs>
  <TitlesOfParts>
    <vt:vector size="22" baseType="lpstr">
      <vt:lpstr>excess return data</vt:lpstr>
      <vt:lpstr>Q4</vt:lpstr>
      <vt:lpstr>Q3</vt:lpstr>
      <vt:lpstr>Q2</vt:lpstr>
      <vt:lpstr>Q1</vt:lpstr>
      <vt:lpstr>adjcov</vt:lpstr>
      <vt:lpstr>aversion</vt:lpstr>
      <vt:lpstr>Covariance</vt:lpstr>
      <vt:lpstr>diagomega</vt:lpstr>
      <vt:lpstr>eqweights</vt:lpstr>
      <vt:lpstr>MktVar</vt:lpstr>
      <vt:lpstr>Omega</vt:lpstr>
      <vt:lpstr>optweights</vt:lpstr>
      <vt:lpstr>postdist</vt:lpstr>
      <vt:lpstr>postret</vt:lpstr>
      <vt:lpstr>prior</vt:lpstr>
      <vt:lpstr>priorconf</vt:lpstr>
      <vt:lpstr>priorom</vt:lpstr>
      <vt:lpstr>tau</vt:lpstr>
      <vt:lpstr>tau_omega</vt:lpstr>
      <vt:lpstr>ViewP</vt:lpstr>
      <vt:lpstr>ViewQ</vt:lpstr>
    </vt:vector>
  </TitlesOfParts>
  <Manager/>
  <Company>UWM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Faculty</dc:creator>
  <cp:keywords/>
  <dc:description/>
  <cp:lastModifiedBy>Arora, Anjalika</cp:lastModifiedBy>
  <cp:revision/>
  <dcterms:created xsi:type="dcterms:W3CDTF">2005-02-11T19:15:36Z</dcterms:created>
  <dcterms:modified xsi:type="dcterms:W3CDTF">2025-11-06T04:43:01Z</dcterms:modified>
  <cp:category/>
  <cp:contentStatus/>
</cp:coreProperties>
</file>